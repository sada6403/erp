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ily Updaiy 1247\Daily Update\"/>
    </mc:Choice>
  </mc:AlternateContent>
  <xr:revisionPtr revIDLastSave="0" documentId="13_ncr:1_{BBAF4B19-73A4-425C-B956-90D2CEFFB88C}" xr6:coauthVersionLast="47" xr6:coauthVersionMax="47" xr10:uidLastSave="{00000000-0000-0000-0000-000000000000}"/>
  <bookViews>
    <workbookView xWindow="-120" yWindow="-120" windowWidth="29040" windowHeight="15720" tabRatio="474" xr2:uid="{BC7A0A94-E05E-4B3C-97E3-66F0840450C8}"/>
  </bookViews>
  <sheets>
    <sheet name="Sheet1" sheetId="1" r:id="rId1"/>
    <sheet name="Sheet4" sheetId="7" r:id="rId2"/>
    <sheet name="Sheet5" sheetId="5" r:id="rId3"/>
    <sheet name="Sheet2" sheetId="2" r:id="rId4"/>
    <sheet name="Sheet3" sheetId="6" r:id="rId5"/>
  </sheets>
  <externalReferences>
    <externalReference r:id="rId6"/>
  </externalReferences>
  <definedNames>
    <definedName name="_xlnm._FilterDatabase" localSheetId="0" hidden="1">Sheet1!$B$2:$C$796</definedName>
    <definedName name="_xlnm._FilterDatabase" localSheetId="2" hidden="1">Sheet5!$A$1:$W$521</definedName>
  </definedNames>
  <calcPr calcId="191029" calcMode="autoNoTable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797" i="1" l="1"/>
  <c r="AG796" i="1"/>
  <c r="AH796" i="1" s="1"/>
  <c r="AG795" i="1"/>
  <c r="AH795" i="1" s="1"/>
  <c r="AG794" i="1"/>
  <c r="AH794" i="1" s="1"/>
  <c r="AG793" i="1"/>
  <c r="AH793" i="1" s="1"/>
  <c r="AG792" i="1"/>
  <c r="AH792" i="1" s="1"/>
  <c r="AG791" i="1"/>
  <c r="AH791" i="1" s="1"/>
  <c r="AG790" i="1"/>
  <c r="AH790" i="1" s="1"/>
  <c r="AG789" i="1"/>
  <c r="AH789" i="1" s="1"/>
  <c r="AG788" i="1"/>
  <c r="AH788" i="1" s="1"/>
  <c r="AG787" i="1"/>
  <c r="AH787" i="1" s="1"/>
  <c r="AG786" i="1"/>
  <c r="AH786" i="1" s="1"/>
  <c r="AG785" i="1"/>
  <c r="AH785" i="1" s="1"/>
  <c r="AG784" i="1"/>
  <c r="AH784" i="1" s="1"/>
  <c r="AG783" i="1"/>
  <c r="AH783" i="1" s="1"/>
  <c r="AG782" i="1"/>
  <c r="AH782" i="1" s="1"/>
  <c r="AG542" i="1"/>
  <c r="AH542" i="1" s="1"/>
  <c r="AG760" i="1" l="1"/>
  <c r="AG656" i="1"/>
  <c r="AG653" i="1"/>
  <c r="AG746" i="1"/>
  <c r="R755" i="1"/>
  <c r="M755" i="1"/>
  <c r="J755" i="1"/>
  <c r="AG780" i="1"/>
  <c r="AH780" i="1" s="1"/>
  <c r="E351" i="1" l="1"/>
  <c r="AG775" i="1"/>
  <c r="AH775" i="1" s="1"/>
  <c r="AG774" i="1"/>
  <c r="AH774" i="1" s="1"/>
  <c r="AG773" i="1"/>
  <c r="AH773" i="1" s="1"/>
  <c r="AG772" i="1"/>
  <c r="AH772" i="1" s="1"/>
  <c r="AG771" i="1"/>
  <c r="AH771" i="1" s="1"/>
  <c r="AG770" i="1"/>
  <c r="AH770" i="1" s="1"/>
  <c r="AG769" i="1"/>
  <c r="AH769" i="1" s="1"/>
  <c r="AG768" i="1" l="1"/>
  <c r="AH768" i="1" s="1"/>
  <c r="AG767" i="1"/>
  <c r="AH767" i="1" s="1"/>
  <c r="AG766" i="1"/>
  <c r="AH766" i="1" s="1"/>
  <c r="AG765" i="1"/>
  <c r="AH765" i="1" s="1"/>
  <c r="AG764" i="1"/>
  <c r="AH764" i="1" s="1"/>
  <c r="AG763" i="1"/>
  <c r="AH763" i="1" s="1"/>
  <c r="AG762" i="1"/>
  <c r="AH762" i="1" s="1"/>
  <c r="AG761" i="1"/>
  <c r="AH761" i="1" s="1"/>
  <c r="AH760" i="1"/>
  <c r="AG759" i="1"/>
  <c r="AH759" i="1" s="1"/>
  <c r="AG758" i="1"/>
  <c r="AH758" i="1" s="1"/>
  <c r="AG757" i="1"/>
  <c r="AH757" i="1" s="1"/>
  <c r="AG756" i="1"/>
  <c r="AH756" i="1" s="1"/>
  <c r="AG755" i="1"/>
  <c r="AH755" i="1" s="1"/>
  <c r="AG754" i="1"/>
  <c r="AH754" i="1" s="1"/>
  <c r="AG753" i="1"/>
  <c r="AH753" i="1" s="1"/>
  <c r="AG752" i="1"/>
  <c r="AH752" i="1" s="1"/>
  <c r="AG751" i="1"/>
  <c r="AH751" i="1" s="1"/>
  <c r="AG750" i="1"/>
  <c r="AH750" i="1" s="1"/>
  <c r="AG749" i="1"/>
  <c r="AH749" i="1" s="1"/>
  <c r="AG748" i="1"/>
  <c r="AH748" i="1" s="1"/>
  <c r="AG747" i="1"/>
  <c r="AH747" i="1" s="1"/>
  <c r="AH746" i="1"/>
  <c r="AG745" i="1"/>
  <c r="AH745" i="1" s="1"/>
  <c r="AG744" i="1"/>
  <c r="AH744" i="1" s="1"/>
  <c r="AG743" i="1"/>
  <c r="AH743" i="1" s="1"/>
  <c r="AG647" i="1"/>
  <c r="AG693" i="1"/>
  <c r="AH693" i="1" s="1"/>
  <c r="AG694" i="1"/>
  <c r="AH694" i="1" s="1"/>
  <c r="AG695" i="1"/>
  <c r="AH695" i="1" s="1"/>
  <c r="AG696" i="1"/>
  <c r="AH696" i="1" s="1"/>
  <c r="AG697" i="1"/>
  <c r="AH697" i="1" s="1"/>
  <c r="AG698" i="1"/>
  <c r="AH698" i="1" s="1"/>
  <c r="AG699" i="1"/>
  <c r="AH699" i="1" s="1"/>
  <c r="AG700" i="1"/>
  <c r="AH700" i="1" s="1"/>
  <c r="AG701" i="1"/>
  <c r="AH701" i="1" s="1"/>
  <c r="AG702" i="1"/>
  <c r="AH702" i="1" s="1"/>
  <c r="AG703" i="1"/>
  <c r="AH703" i="1" s="1"/>
  <c r="AG704" i="1"/>
  <c r="AH704" i="1" s="1"/>
  <c r="AG705" i="1"/>
  <c r="AH705" i="1" s="1"/>
  <c r="AG706" i="1"/>
  <c r="AH706" i="1" s="1"/>
  <c r="AG707" i="1"/>
  <c r="AH707" i="1" s="1"/>
  <c r="AG708" i="1"/>
  <c r="AH708" i="1" s="1"/>
  <c r="AG709" i="1"/>
  <c r="AH709" i="1" s="1"/>
  <c r="AG710" i="1"/>
  <c r="AH710" i="1" s="1"/>
  <c r="AG711" i="1"/>
  <c r="AH711" i="1" s="1"/>
  <c r="AG712" i="1"/>
  <c r="AH712" i="1" s="1"/>
  <c r="AG713" i="1"/>
  <c r="AH713" i="1" s="1"/>
  <c r="AG714" i="1"/>
  <c r="AH714" i="1" s="1"/>
  <c r="AG715" i="1"/>
  <c r="AH715" i="1" s="1"/>
  <c r="AG716" i="1"/>
  <c r="AH716" i="1" s="1"/>
  <c r="AG717" i="1"/>
  <c r="AH717" i="1" s="1"/>
  <c r="AG718" i="1"/>
  <c r="AH718" i="1" s="1"/>
  <c r="AG719" i="1"/>
  <c r="AH719" i="1" s="1"/>
  <c r="AG720" i="1"/>
  <c r="AH720" i="1" s="1"/>
  <c r="AG721" i="1"/>
  <c r="AH721" i="1" s="1"/>
  <c r="AG722" i="1"/>
  <c r="AH722" i="1" s="1"/>
  <c r="AG723" i="1"/>
  <c r="AH723" i="1" s="1"/>
  <c r="AG724" i="1"/>
  <c r="AH724" i="1" s="1"/>
  <c r="AG725" i="1"/>
  <c r="AH725" i="1" s="1"/>
  <c r="AG726" i="1"/>
  <c r="AH726" i="1" s="1"/>
  <c r="AG727" i="1"/>
  <c r="AH727" i="1" s="1"/>
  <c r="AG728" i="1"/>
  <c r="AH728" i="1" s="1"/>
  <c r="AG729" i="1"/>
  <c r="AH729" i="1" s="1"/>
  <c r="AG730" i="1"/>
  <c r="AH730" i="1" s="1"/>
  <c r="AG731" i="1"/>
  <c r="AH731" i="1" s="1"/>
  <c r="AG732" i="1"/>
  <c r="AH732" i="1" s="1"/>
  <c r="AG733" i="1"/>
  <c r="AH733" i="1" s="1"/>
  <c r="AG734" i="1"/>
  <c r="AH734" i="1" s="1"/>
  <c r="AG735" i="1"/>
  <c r="AH735" i="1" s="1"/>
  <c r="AG736" i="1"/>
  <c r="AH736" i="1" s="1"/>
  <c r="AG737" i="1"/>
  <c r="AH737" i="1" s="1"/>
  <c r="AG738" i="1"/>
  <c r="AH738" i="1" s="1"/>
  <c r="AG739" i="1"/>
  <c r="AH739" i="1" s="1"/>
  <c r="AG740" i="1"/>
  <c r="AH740" i="1" s="1"/>
  <c r="AG741" i="1"/>
  <c r="AH741" i="1" s="1"/>
  <c r="AG742" i="1"/>
  <c r="AH742" i="1" s="1"/>
  <c r="AG692" i="1"/>
  <c r="AH692" i="1" s="1"/>
  <c r="AG691" i="1"/>
  <c r="AH691" i="1" s="1"/>
  <c r="X390" i="1"/>
  <c r="X137" i="1"/>
  <c r="AH690" i="1"/>
  <c r="AH659" i="1" l="1"/>
  <c r="AG660" i="1"/>
  <c r="AH660" i="1" s="1"/>
  <c r="AG661" i="1"/>
  <c r="AH661" i="1" s="1"/>
  <c r="AG662" i="1"/>
  <c r="AH662" i="1" s="1"/>
  <c r="AG663" i="1"/>
  <c r="AH663" i="1" s="1"/>
  <c r="AG664" i="1"/>
  <c r="AH664" i="1" s="1"/>
  <c r="AG665" i="1"/>
  <c r="AH665" i="1" s="1"/>
  <c r="AG666" i="1"/>
  <c r="AH666" i="1" s="1"/>
  <c r="AG667" i="1"/>
  <c r="AH667" i="1" s="1"/>
  <c r="AG668" i="1"/>
  <c r="AH668" i="1" s="1"/>
  <c r="AG669" i="1"/>
  <c r="AH669" i="1" s="1"/>
  <c r="AG670" i="1"/>
  <c r="AH670" i="1" s="1"/>
  <c r="AG671" i="1"/>
  <c r="AH671" i="1" s="1"/>
  <c r="AG672" i="1"/>
  <c r="AH672" i="1" s="1"/>
  <c r="AG673" i="1"/>
  <c r="AH673" i="1" s="1"/>
  <c r="AG674" i="1"/>
  <c r="AH674" i="1" s="1"/>
  <c r="AG675" i="1"/>
  <c r="AH675" i="1" s="1"/>
  <c r="AG676" i="1"/>
  <c r="AH676" i="1" s="1"/>
  <c r="AG677" i="1"/>
  <c r="AH677" i="1" s="1"/>
  <c r="AG678" i="1"/>
  <c r="AH678" i="1" s="1"/>
  <c r="AG679" i="1"/>
  <c r="AH679" i="1" s="1"/>
  <c r="AG680" i="1"/>
  <c r="AH680" i="1" s="1"/>
  <c r="AG681" i="1"/>
  <c r="AH681" i="1" s="1"/>
  <c r="AG682" i="1"/>
  <c r="AH682" i="1" s="1"/>
  <c r="AG683" i="1"/>
  <c r="AH683" i="1" s="1"/>
  <c r="AG684" i="1"/>
  <c r="AH684" i="1" s="1"/>
  <c r="AG685" i="1"/>
  <c r="AH685" i="1" s="1"/>
  <c r="AG686" i="1"/>
  <c r="AH686" i="1" s="1"/>
  <c r="AG687" i="1"/>
  <c r="AH687" i="1" s="1"/>
  <c r="AG688" i="1"/>
  <c r="AH688" i="1" s="1"/>
  <c r="J301" i="1"/>
  <c r="J583" i="1"/>
  <c r="J90" i="1"/>
  <c r="J603" i="1"/>
  <c r="J308" i="1" l="1"/>
  <c r="J306" i="1"/>
  <c r="J584" i="1"/>
  <c r="J420" i="1"/>
  <c r="J362" i="1"/>
  <c r="G483" i="1" l="1"/>
  <c r="G485" i="1"/>
  <c r="J484" i="1"/>
  <c r="J321" i="1"/>
  <c r="J320" i="1"/>
  <c r="J319" i="1"/>
  <c r="J161" i="1"/>
  <c r="J199" i="1"/>
  <c r="AG658" i="1" l="1"/>
  <c r="AH658" i="1" s="1"/>
  <c r="AG657" i="1"/>
  <c r="AH657" i="1" s="1"/>
  <c r="AH656" i="1"/>
  <c r="AG655" i="1"/>
  <c r="AH655" i="1" s="1"/>
  <c r="AG654" i="1"/>
  <c r="AH654" i="1" s="1"/>
  <c r="AH653" i="1"/>
  <c r="AG652" i="1"/>
  <c r="AH652" i="1" s="1"/>
  <c r="AG651" i="1"/>
  <c r="AH651" i="1" s="1"/>
  <c r="AG650" i="1"/>
  <c r="AH650" i="1" s="1"/>
  <c r="AG649" i="1"/>
  <c r="AH649" i="1" s="1"/>
  <c r="W351" i="1"/>
  <c r="N185" i="1"/>
  <c r="L582" i="1" l="1"/>
  <c r="AG648" i="1"/>
  <c r="AH648" i="1" s="1"/>
  <c r="AH647" i="1"/>
  <c r="L92" i="1"/>
  <c r="L583" i="1"/>
  <c r="AG646" i="1" l="1"/>
  <c r="AH646" i="1" s="1"/>
  <c r="AG627" i="1" l="1"/>
  <c r="AH627" i="1" s="1"/>
  <c r="AG628" i="1"/>
  <c r="AH628" i="1" s="1"/>
  <c r="AG629" i="1"/>
  <c r="AH629" i="1" s="1"/>
  <c r="AG630" i="1"/>
  <c r="AH630" i="1" s="1"/>
  <c r="AG631" i="1"/>
  <c r="AH631" i="1" s="1"/>
  <c r="AG632" i="1"/>
  <c r="AH632" i="1" s="1"/>
  <c r="AG633" i="1"/>
  <c r="AH633" i="1" s="1"/>
  <c r="AG634" i="1"/>
  <c r="AH634" i="1" s="1"/>
  <c r="AG635" i="1"/>
  <c r="AH635" i="1" s="1"/>
  <c r="AG636" i="1"/>
  <c r="AH636" i="1" s="1"/>
  <c r="AG637" i="1"/>
  <c r="AH637" i="1" s="1"/>
  <c r="AG638" i="1"/>
  <c r="AH638" i="1" s="1"/>
  <c r="AG639" i="1"/>
  <c r="AH639" i="1" s="1"/>
  <c r="AG640" i="1"/>
  <c r="AH640" i="1" s="1"/>
  <c r="AE319" i="1"/>
  <c r="AH524" i="1"/>
  <c r="AD193" i="1"/>
  <c r="R109" i="1"/>
  <c r="X131" i="1"/>
  <c r="N109" i="1" l="1"/>
  <c r="N108" i="1"/>
  <c r="N415" i="1"/>
  <c r="Q550" i="1"/>
  <c r="W353" i="1"/>
  <c r="W371" i="1"/>
  <c r="W314" i="1"/>
  <c r="W320" i="1"/>
  <c r="W319" i="1"/>
  <c r="W110" i="1"/>
  <c r="W108" i="1"/>
  <c r="AG625" i="1"/>
  <c r="AH625" i="1" s="1"/>
  <c r="AG624" i="1"/>
  <c r="AH624" i="1" s="1"/>
  <c r="N607" i="1"/>
  <c r="N603" i="1"/>
  <c r="AG603" i="1" s="1"/>
  <c r="R389" i="1"/>
  <c r="R60" i="1"/>
  <c r="R61" i="1"/>
  <c r="R480" i="1"/>
  <c r="R479" i="1"/>
  <c r="J468" i="1" l="1"/>
  <c r="J462" i="1"/>
  <c r="J408" i="1"/>
  <c r="J567" i="1"/>
  <c r="J570" i="1"/>
  <c r="J573" i="1"/>
  <c r="J571" i="1"/>
  <c r="W402" i="1"/>
  <c r="AG402" i="1" s="1"/>
  <c r="AH402" i="1" s="1"/>
  <c r="W584" i="1"/>
  <c r="X553" i="1"/>
  <c r="N186" i="1"/>
  <c r="AF316" i="1"/>
  <c r="AF465" i="1" l="1"/>
  <c r="J602" i="1"/>
  <c r="J601" i="1"/>
  <c r="J600" i="1"/>
  <c r="J316" i="1"/>
  <c r="AE316" i="1"/>
  <c r="AF100" i="1"/>
  <c r="AD301" i="1"/>
  <c r="AD294" i="1"/>
  <c r="AF480" i="1"/>
  <c r="AF107" i="1"/>
  <c r="AG459" i="1"/>
  <c r="AH459" i="1" s="1"/>
  <c r="AD321" i="1"/>
  <c r="D320" i="1"/>
  <c r="D319" i="1"/>
  <c r="AD8" i="1"/>
  <c r="AD11" i="1"/>
  <c r="AD360" i="1"/>
  <c r="AD142" i="1"/>
  <c r="AD92" i="1"/>
  <c r="AD251" i="1"/>
  <c r="AD403" i="1"/>
  <c r="AD539" i="1"/>
  <c r="AD397" i="1"/>
  <c r="M49" i="1"/>
  <c r="M484" i="1"/>
  <c r="M479" i="1"/>
  <c r="M578" i="1"/>
  <c r="M577" i="1"/>
  <c r="M92" i="1"/>
  <c r="W139" i="1" l="1"/>
  <c r="W186" i="1"/>
  <c r="N125" i="1"/>
  <c r="AG623" i="1"/>
  <c r="AH623" i="1" s="1"/>
  <c r="AG622" i="1"/>
  <c r="AH622" i="1" s="1"/>
  <c r="AG621" i="1"/>
  <c r="AH621" i="1" s="1"/>
  <c r="AG620" i="1"/>
  <c r="AH620" i="1" s="1"/>
  <c r="AG619" i="1"/>
  <c r="AH619" i="1" s="1"/>
  <c r="AG618" i="1"/>
  <c r="AH618" i="1" s="1"/>
  <c r="AG617" i="1"/>
  <c r="AH617" i="1" s="1"/>
  <c r="AG616" i="1"/>
  <c r="AH616" i="1" s="1"/>
  <c r="AG615" i="1"/>
  <c r="AH615" i="1" s="1"/>
  <c r="AG614" i="1"/>
  <c r="AH614" i="1" s="1"/>
  <c r="AG613" i="1"/>
  <c r="AH613" i="1" s="1"/>
  <c r="AG612" i="1"/>
  <c r="AH612" i="1" s="1"/>
  <c r="AG611" i="1"/>
  <c r="AH611" i="1" s="1"/>
  <c r="AG610" i="1"/>
  <c r="AH610" i="1" s="1"/>
  <c r="AG609" i="1"/>
  <c r="AH609" i="1" s="1"/>
  <c r="N100" i="1" l="1"/>
  <c r="AG608" i="1"/>
  <c r="AH608" i="1" s="1"/>
  <c r="AG607" i="1"/>
  <c r="AH607" i="1" s="1"/>
  <c r="AG606" i="1"/>
  <c r="AH606" i="1" s="1"/>
  <c r="AG605" i="1"/>
  <c r="AH605" i="1" s="1"/>
  <c r="N107" i="1"/>
  <c r="J480" i="1"/>
  <c r="AG604" i="1"/>
  <c r="AH604" i="1" s="1"/>
  <c r="J92" i="1" l="1"/>
  <c r="J327" i="1"/>
  <c r="R8" i="1"/>
  <c r="R464" i="1"/>
  <c r="R532" i="1"/>
  <c r="R395" i="1"/>
  <c r="R396" i="1"/>
  <c r="R351" i="1"/>
  <c r="R350" i="1"/>
  <c r="N350" i="1"/>
  <c r="N351" i="1"/>
  <c r="N548" i="1"/>
  <c r="N550" i="1"/>
  <c r="N551" i="1"/>
  <c r="N547" i="1"/>
  <c r="N565" i="1"/>
  <c r="N562" i="1"/>
  <c r="N372" i="1"/>
  <c r="N314" i="1"/>
  <c r="N29" i="1"/>
  <c r="N479" i="1"/>
  <c r="N563" i="1"/>
  <c r="N513" i="1"/>
  <c r="N468" i="1"/>
  <c r="AF542" i="1" l="1"/>
  <c r="Q116" i="1" l="1"/>
  <c r="AH603" i="1"/>
  <c r="W554" i="1"/>
  <c r="W552" i="1"/>
  <c r="AH545" i="1" l="1"/>
  <c r="AG547" i="1"/>
  <c r="AH547" i="1" s="1"/>
  <c r="AG548" i="1"/>
  <c r="AH548" i="1" s="1"/>
  <c r="AG549" i="1"/>
  <c r="AH549" i="1" s="1"/>
  <c r="AG550" i="1"/>
  <c r="AH550" i="1" s="1"/>
  <c r="AG551" i="1"/>
  <c r="AH551" i="1" s="1"/>
  <c r="AG552" i="1"/>
  <c r="AH552" i="1" s="1"/>
  <c r="AG553" i="1"/>
  <c r="AH553" i="1" s="1"/>
  <c r="AG554" i="1"/>
  <c r="AH554" i="1" s="1"/>
  <c r="AG555" i="1"/>
  <c r="AH555" i="1" s="1"/>
  <c r="AG556" i="1"/>
  <c r="AH556" i="1" s="1"/>
  <c r="AG557" i="1"/>
  <c r="AH557" i="1" s="1"/>
  <c r="AG558" i="1"/>
  <c r="AH558" i="1" s="1"/>
  <c r="AG559" i="1"/>
  <c r="AH559" i="1" s="1"/>
  <c r="AG560" i="1"/>
  <c r="AH560" i="1" s="1"/>
  <c r="AG561" i="1"/>
  <c r="AH561" i="1" s="1"/>
  <c r="AG562" i="1"/>
  <c r="AH562" i="1" s="1"/>
  <c r="AG563" i="1"/>
  <c r="AH563" i="1" s="1"/>
  <c r="AG564" i="1"/>
  <c r="AH564" i="1" s="1"/>
  <c r="AG565" i="1"/>
  <c r="AH565" i="1" s="1"/>
  <c r="AG566" i="1"/>
  <c r="AH566" i="1" s="1"/>
  <c r="AG567" i="1"/>
  <c r="AH567" i="1" s="1"/>
  <c r="AG568" i="1"/>
  <c r="AH568" i="1" s="1"/>
  <c r="AG569" i="1"/>
  <c r="AH569" i="1" s="1"/>
  <c r="AG570" i="1"/>
  <c r="AH570" i="1" s="1"/>
  <c r="AG571" i="1"/>
  <c r="AH571" i="1" s="1"/>
  <c r="AG572" i="1"/>
  <c r="AH572" i="1" s="1"/>
  <c r="AG573" i="1"/>
  <c r="AH573" i="1" s="1"/>
  <c r="AG574" i="1"/>
  <c r="AH574" i="1" s="1"/>
  <c r="AG575" i="1"/>
  <c r="AH575" i="1" s="1"/>
  <c r="AG576" i="1"/>
  <c r="AH576" i="1" s="1"/>
  <c r="AG577" i="1"/>
  <c r="AH577" i="1" s="1"/>
  <c r="AG578" i="1"/>
  <c r="AH578" i="1" s="1"/>
  <c r="AG579" i="1"/>
  <c r="AH579" i="1" s="1"/>
  <c r="AG580" i="1"/>
  <c r="AH580" i="1" s="1"/>
  <c r="AG581" i="1"/>
  <c r="AH581" i="1" s="1"/>
  <c r="AG582" i="1"/>
  <c r="AH582" i="1" s="1"/>
  <c r="AG583" i="1"/>
  <c r="AH583" i="1" s="1"/>
  <c r="AG584" i="1"/>
  <c r="AH584" i="1" s="1"/>
  <c r="AG585" i="1"/>
  <c r="AH585" i="1" s="1"/>
  <c r="AG586" i="1"/>
  <c r="AH586" i="1" s="1"/>
  <c r="AG587" i="1"/>
  <c r="AH587" i="1" s="1"/>
  <c r="AG588" i="1"/>
  <c r="AH588" i="1" s="1"/>
  <c r="AG589" i="1"/>
  <c r="AH589" i="1" s="1"/>
  <c r="AG590" i="1"/>
  <c r="AH590" i="1" s="1"/>
  <c r="AG591" i="1"/>
  <c r="AH591" i="1" s="1"/>
  <c r="AG592" i="1"/>
  <c r="AH592" i="1" s="1"/>
  <c r="AG593" i="1"/>
  <c r="AH593" i="1" s="1"/>
  <c r="AG594" i="1"/>
  <c r="AH594" i="1" s="1"/>
  <c r="AG595" i="1"/>
  <c r="AH595" i="1" s="1"/>
  <c r="AG596" i="1"/>
  <c r="AH596" i="1" s="1"/>
  <c r="AG597" i="1"/>
  <c r="AH597" i="1" s="1"/>
  <c r="AG598" i="1"/>
  <c r="AH598" i="1" s="1"/>
  <c r="AG599" i="1"/>
  <c r="AH599" i="1" s="1"/>
  <c r="AG600" i="1"/>
  <c r="AH600" i="1" s="1"/>
  <c r="AG601" i="1"/>
  <c r="AH601" i="1" s="1"/>
  <c r="AG602" i="1"/>
  <c r="AH602" i="1" s="1"/>
  <c r="X106" i="1" l="1"/>
  <c r="M8" i="1"/>
  <c r="M468" i="1"/>
  <c r="M301" i="1"/>
  <c r="M396" i="1"/>
  <c r="M58" i="1"/>
  <c r="M260" i="1"/>
  <c r="AG546" i="1" l="1"/>
  <c r="AH546" i="1" s="1"/>
  <c r="X513" i="1"/>
  <c r="X481" i="1"/>
  <c r="X480" i="1"/>
  <c r="N458" i="1"/>
  <c r="N481" i="1"/>
  <c r="D247" i="1"/>
  <c r="N332" i="1"/>
  <c r="N331" i="1"/>
  <c r="N340" i="1"/>
  <c r="W55" i="1"/>
  <c r="N349" i="1" l="1"/>
  <c r="W301" i="1"/>
  <c r="W468" i="1"/>
  <c r="W122" i="1"/>
  <c r="W298" i="1"/>
  <c r="W125" i="1"/>
  <c r="X331" i="1" l="1"/>
  <c r="X332" i="1"/>
  <c r="X337" i="1"/>
  <c r="R468" i="1"/>
  <c r="D468" i="1"/>
  <c r="R92" i="1"/>
  <c r="N419" i="1"/>
  <c r="N305" i="1"/>
  <c r="N352" i="1"/>
  <c r="N315" i="1"/>
  <c r="N321" i="1"/>
  <c r="L480" i="1"/>
  <c r="L396" i="1"/>
  <c r="L395" i="1"/>
  <c r="AD122" i="1"/>
  <c r="AE339" i="1"/>
  <c r="AD307" i="1"/>
  <c r="AG544" i="1"/>
  <c r="AH544" i="1" s="1"/>
  <c r="AE92" i="1" l="1"/>
  <c r="AG543" i="1"/>
  <c r="AH543" i="1" s="1"/>
  <c r="AD39" i="1" l="1"/>
  <c r="AF125" i="1" l="1"/>
  <c r="F271" i="1" l="1"/>
  <c r="Q12" i="1"/>
  <c r="Q11" i="1"/>
  <c r="W12" i="1" l="1"/>
  <c r="W11" i="1"/>
  <c r="W92" i="1"/>
  <c r="W83" i="1"/>
  <c r="W90" i="1"/>
  <c r="W16" i="1"/>
  <c r="W58" i="1"/>
  <c r="W57" i="1"/>
  <c r="W32" i="1"/>
  <c r="W56" i="1"/>
  <c r="W396" i="1"/>
  <c r="W395" i="1"/>
  <c r="N97" i="1"/>
  <c r="F4" i="1" l="1"/>
  <c r="N4" i="1"/>
  <c r="N20" i="1"/>
  <c r="N32" i="1"/>
  <c r="N30" i="1"/>
  <c r="N55" i="1"/>
  <c r="N23" i="1"/>
  <c r="N221" i="1"/>
  <c r="N61" i="1"/>
  <c r="N82" i="1"/>
  <c r="N395" i="1"/>
  <c r="N56" i="1"/>
  <c r="N12" i="1"/>
  <c r="N11" i="1"/>
  <c r="N8" i="1"/>
  <c r="N89" i="1"/>
  <c r="N396" i="1"/>
  <c r="N16" i="1"/>
  <c r="N318" i="1"/>
  <c r="X122" i="1"/>
  <c r="X16" i="1"/>
  <c r="X92" i="1" l="1"/>
  <c r="X55" i="1"/>
  <c r="X12" i="1"/>
  <c r="X11" i="1"/>
  <c r="X36" i="1"/>
  <c r="X396" i="1"/>
  <c r="AG531" i="1"/>
  <c r="AH531" i="1" s="1"/>
  <c r="AG532" i="1"/>
  <c r="AH532" i="1" s="1"/>
  <c r="AG533" i="1"/>
  <c r="AH533" i="1" s="1"/>
  <c r="AG534" i="1"/>
  <c r="AH534" i="1" s="1"/>
  <c r="AG535" i="1"/>
  <c r="AH535" i="1" s="1"/>
  <c r="AG536" i="1"/>
  <c r="AH536" i="1" s="1"/>
  <c r="AG537" i="1"/>
  <c r="AH537" i="1" s="1"/>
  <c r="AG538" i="1"/>
  <c r="AH538" i="1" s="1"/>
  <c r="AG539" i="1"/>
  <c r="AH539" i="1" s="1"/>
  <c r="AG540" i="1"/>
  <c r="AH540" i="1" s="1"/>
  <c r="AG541" i="1"/>
  <c r="AH541" i="1" s="1"/>
  <c r="R263" i="1"/>
  <c r="R318" i="1"/>
  <c r="R139" i="1"/>
  <c r="R137" i="1"/>
  <c r="AG530" i="1"/>
  <c r="AH530" i="1" s="1"/>
  <c r="AG529" i="1"/>
  <c r="AH529" i="1" s="1"/>
  <c r="AG523" i="1"/>
  <c r="AH523" i="1" s="1"/>
  <c r="AG522" i="1"/>
  <c r="AH522" i="1" s="1"/>
  <c r="X48" i="1" l="1"/>
  <c r="X318" i="1"/>
  <c r="X208" i="1"/>
  <c r="X293" i="1"/>
  <c r="X302" i="1"/>
  <c r="X210" i="1"/>
  <c r="X209" i="1"/>
  <c r="X168" i="1"/>
  <c r="X198" i="1"/>
  <c r="X307" i="1"/>
  <c r="X440" i="1"/>
  <c r="X211" i="1"/>
  <c r="X441" i="1"/>
  <c r="X461" i="1"/>
  <c r="X255" i="1"/>
  <c r="X366" i="1"/>
  <c r="X350" i="1"/>
  <c r="X365" i="1"/>
  <c r="X312" i="1"/>
  <c r="X313" i="1"/>
  <c r="X311" i="1"/>
  <c r="X349" i="1"/>
  <c r="X351" i="1"/>
  <c r="X170" i="1"/>
  <c r="X200" i="1"/>
  <c r="X161" i="1"/>
  <c r="X199" i="1"/>
  <c r="X372" i="1"/>
  <c r="X371" i="1"/>
  <c r="X418" i="1"/>
  <c r="X419" i="1"/>
  <c r="X320" i="1"/>
  <c r="X321" i="1"/>
  <c r="X319" i="1"/>
  <c r="X305" i="1"/>
  <c r="X361" i="1"/>
  <c r="X360" i="1"/>
  <c r="X368" i="1"/>
  <c r="X308" i="1"/>
  <c r="X356" i="1"/>
  <c r="X354" i="1"/>
  <c r="X420" i="1"/>
  <c r="X316" i="1"/>
  <c r="X172" i="1"/>
  <c r="X315" i="1"/>
  <c r="X309" i="1"/>
  <c r="X352" i="1"/>
  <c r="X353" i="1"/>
  <c r="X193" i="1"/>
  <c r="W479" i="1" l="1"/>
  <c r="W419" i="1"/>
  <c r="N298" i="1"/>
  <c r="N5" i="1"/>
  <c r="C467" i="1" l="1" a="1"/>
  <c r="C467" i="1" s="1"/>
  <c r="A1" i="7" l="1"/>
  <c r="AG510" i="1" l="1"/>
  <c r="AH510" i="1" s="1"/>
  <c r="AG511" i="1"/>
  <c r="AH511" i="1" s="1"/>
  <c r="AG512" i="1"/>
  <c r="AH512" i="1" s="1"/>
  <c r="AG513" i="1"/>
  <c r="AH513" i="1" s="1"/>
  <c r="AG514" i="1"/>
  <c r="AH514" i="1" s="1"/>
  <c r="AG515" i="1"/>
  <c r="AH515" i="1" s="1"/>
  <c r="AG516" i="1"/>
  <c r="AH516" i="1" s="1"/>
  <c r="AG517" i="1"/>
  <c r="AH517" i="1" s="1"/>
  <c r="AG518" i="1"/>
  <c r="AH518" i="1" s="1"/>
  <c r="AG519" i="1"/>
  <c r="AH519" i="1" s="1"/>
  <c r="AG520" i="1"/>
  <c r="AH520" i="1" s="1"/>
  <c r="AG521" i="1"/>
  <c r="AH521" i="1" s="1"/>
  <c r="AG509" i="1" l="1"/>
  <c r="AG508" i="1"/>
  <c r="AH508" i="1" s="1"/>
  <c r="AG507" i="1"/>
  <c r="AH507" i="1" s="1"/>
  <c r="AG506" i="1"/>
  <c r="AH506" i="1" s="1"/>
  <c r="AG502" i="1"/>
  <c r="AH502" i="1" s="1"/>
  <c r="AG503" i="1"/>
  <c r="AH503" i="1" s="1"/>
  <c r="AG504" i="1"/>
  <c r="AH504" i="1" s="1"/>
  <c r="AG505" i="1"/>
  <c r="AH505" i="1" s="1"/>
  <c r="AG501" i="1"/>
  <c r="AH501" i="1" s="1"/>
  <c r="AG498" i="1" l="1"/>
  <c r="AH498" i="1" s="1"/>
  <c r="AG499" i="1"/>
  <c r="AH499" i="1" s="1"/>
  <c r="AG500" i="1"/>
  <c r="AH500" i="1" s="1"/>
  <c r="AG497" i="1"/>
  <c r="AH497" i="1" s="1"/>
  <c r="AG486" i="1" l="1"/>
  <c r="AH486" i="1" s="1"/>
  <c r="AG487" i="1"/>
  <c r="AH487" i="1" s="1"/>
  <c r="AG488" i="1"/>
  <c r="AH488" i="1" s="1"/>
  <c r="AG489" i="1"/>
  <c r="AH489" i="1" s="1"/>
  <c r="AG490" i="1"/>
  <c r="AH490" i="1" s="1"/>
  <c r="AG491" i="1"/>
  <c r="AH491" i="1" s="1"/>
  <c r="AG492" i="1"/>
  <c r="AH492" i="1" s="1"/>
  <c r="AG493" i="1"/>
  <c r="AH493" i="1" s="1"/>
  <c r="AG494" i="1"/>
  <c r="AH494" i="1" s="1"/>
  <c r="AG495" i="1"/>
  <c r="AH495" i="1" s="1"/>
  <c r="AG496" i="1"/>
  <c r="AH496" i="1" s="1"/>
  <c r="AG424" i="1"/>
  <c r="AH424" i="1" s="1"/>
  <c r="AG476" i="1"/>
  <c r="AH476" i="1" s="1"/>
  <c r="AG477" i="1"/>
  <c r="AH477" i="1" s="1"/>
  <c r="AG478" i="1"/>
  <c r="AH478" i="1" s="1"/>
  <c r="AG479" i="1"/>
  <c r="AH479" i="1" s="1"/>
  <c r="AG480" i="1"/>
  <c r="AH480" i="1" s="1"/>
  <c r="AG481" i="1"/>
  <c r="AH481" i="1" s="1"/>
  <c r="AG482" i="1"/>
  <c r="AH482" i="1" s="1"/>
  <c r="AG483" i="1"/>
  <c r="AH483" i="1" s="1"/>
  <c r="AG484" i="1"/>
  <c r="AH484" i="1" s="1"/>
  <c r="AG485" i="1"/>
  <c r="AH485" i="1" s="1"/>
  <c r="AG475" i="1"/>
  <c r="AH475" i="1" s="1"/>
  <c r="AG474" i="1"/>
  <c r="AH474" i="1" s="1"/>
  <c r="AG473" i="1"/>
  <c r="AH473" i="1" s="1"/>
  <c r="AG472" i="1"/>
  <c r="AH472" i="1" s="1"/>
  <c r="AG461" i="1"/>
  <c r="AH461" i="1" s="1"/>
  <c r="AG462" i="1"/>
  <c r="AH462" i="1" s="1"/>
  <c r="AG463" i="1"/>
  <c r="AH463" i="1" s="1"/>
  <c r="AG464" i="1"/>
  <c r="AH464" i="1" s="1"/>
  <c r="AG465" i="1"/>
  <c r="AH465" i="1" s="1"/>
  <c r="AG466" i="1"/>
  <c r="AH466" i="1" s="1"/>
  <c r="AG467" i="1"/>
  <c r="AH467" i="1" s="1"/>
  <c r="AG468" i="1"/>
  <c r="AH468" i="1" s="1"/>
  <c r="AG469" i="1"/>
  <c r="AH469" i="1" s="1"/>
  <c r="AG470" i="1"/>
  <c r="AH470" i="1" s="1"/>
  <c r="AG471" i="1"/>
  <c r="AH471" i="1" s="1"/>
  <c r="AG460" i="1"/>
  <c r="AH460" i="1" s="1"/>
  <c r="AG442" i="1"/>
  <c r="AH442" i="1" s="1"/>
  <c r="AG437" i="1"/>
  <c r="AH437" i="1" s="1"/>
  <c r="AG438" i="1"/>
  <c r="AH438" i="1" s="1"/>
  <c r="AG439" i="1"/>
  <c r="AH439" i="1" s="1"/>
  <c r="AG440" i="1"/>
  <c r="AH440" i="1" s="1"/>
  <c r="AG441" i="1"/>
  <c r="AH441" i="1" s="1"/>
  <c r="AG443" i="1"/>
  <c r="AH443" i="1" s="1"/>
  <c r="AG444" i="1"/>
  <c r="AH444" i="1" s="1"/>
  <c r="AG445" i="1"/>
  <c r="AH445" i="1" s="1"/>
  <c r="AG446" i="1"/>
  <c r="AH446" i="1" s="1"/>
  <c r="AG447" i="1"/>
  <c r="AH447" i="1" s="1"/>
  <c r="AG448" i="1"/>
  <c r="AH448" i="1" s="1"/>
  <c r="AG449" i="1"/>
  <c r="AH449" i="1" s="1"/>
  <c r="AG450" i="1"/>
  <c r="AH450" i="1" s="1"/>
  <c r="AG451" i="1"/>
  <c r="AH451" i="1" s="1"/>
  <c r="AG452" i="1"/>
  <c r="AH452" i="1" s="1"/>
  <c r="AG453" i="1"/>
  <c r="AH453" i="1" s="1"/>
  <c r="AG454" i="1"/>
  <c r="AH454" i="1" s="1"/>
  <c r="AG455" i="1"/>
  <c r="AH455" i="1" s="1"/>
  <c r="AG456" i="1"/>
  <c r="AH456" i="1" s="1"/>
  <c r="AG457" i="1"/>
  <c r="AH457" i="1" s="1"/>
  <c r="AG458" i="1"/>
  <c r="AH458" i="1" s="1"/>
  <c r="V494" i="5"/>
  <c r="W494" i="5" s="1"/>
  <c r="V495" i="5"/>
  <c r="W495" i="5" s="1"/>
  <c r="V496" i="5"/>
  <c r="W496" i="5" s="1"/>
  <c r="V497" i="5"/>
  <c r="W497" i="5" s="1"/>
  <c r="V498" i="5"/>
  <c r="W498" i="5" s="1"/>
  <c r="V499" i="5"/>
  <c r="W499" i="5" s="1"/>
  <c r="V500" i="5"/>
  <c r="W500" i="5" s="1"/>
  <c r="V501" i="5"/>
  <c r="W501" i="5" s="1"/>
  <c r="V502" i="5"/>
  <c r="W502" i="5" s="1"/>
  <c r="V503" i="5"/>
  <c r="W503" i="5" s="1"/>
  <c r="V504" i="5"/>
  <c r="W504" i="5" s="1"/>
  <c r="V505" i="5"/>
  <c r="W505" i="5" s="1"/>
  <c r="V506" i="5"/>
  <c r="W506" i="5" s="1"/>
  <c r="V507" i="5"/>
  <c r="W507" i="5" s="1"/>
  <c r="V508" i="5"/>
  <c r="W508" i="5" s="1"/>
  <c r="V509" i="5"/>
  <c r="W509" i="5" s="1"/>
  <c r="V510" i="5"/>
  <c r="W510" i="5" s="1"/>
  <c r="V511" i="5"/>
  <c r="W511" i="5" s="1"/>
  <c r="V512" i="5"/>
  <c r="W512" i="5" s="1"/>
  <c r="V513" i="5"/>
  <c r="W513" i="5" s="1"/>
  <c r="V514" i="5"/>
  <c r="W514" i="5" s="1"/>
  <c r="V515" i="5"/>
  <c r="W515" i="5" s="1"/>
  <c r="V516" i="5"/>
  <c r="W516" i="5" s="1"/>
  <c r="V517" i="5"/>
  <c r="W517" i="5" s="1"/>
  <c r="V518" i="5"/>
  <c r="W518" i="5" s="1"/>
  <c r="V519" i="5"/>
  <c r="W519" i="5" s="1"/>
  <c r="V520" i="5"/>
  <c r="W520" i="5" s="1"/>
  <c r="V521" i="5"/>
  <c r="W521" i="5" s="1"/>
  <c r="V493" i="5"/>
  <c r="W493" i="5" s="1"/>
  <c r="V492" i="5"/>
  <c r="W492" i="5" s="1"/>
  <c r="V491" i="5"/>
  <c r="W491" i="5" s="1"/>
  <c r="V490" i="5"/>
  <c r="W490" i="5" s="1"/>
  <c r="V489" i="5"/>
  <c r="W489" i="5" s="1"/>
  <c r="V488" i="5"/>
  <c r="W488" i="5" s="1"/>
  <c r="V487" i="5"/>
  <c r="W487" i="5" s="1"/>
  <c r="V486" i="5"/>
  <c r="W486" i="5" s="1"/>
  <c r="V485" i="5"/>
  <c r="W485" i="5" s="1"/>
  <c r="V484" i="5"/>
  <c r="W484" i="5" s="1"/>
  <c r="V483" i="5"/>
  <c r="W483" i="5" s="1"/>
  <c r="V482" i="5"/>
  <c r="W482" i="5" s="1"/>
  <c r="V481" i="5"/>
  <c r="W481" i="5" s="1"/>
  <c r="V480" i="5"/>
  <c r="W480" i="5" s="1"/>
  <c r="V479" i="5"/>
  <c r="W479" i="5" s="1"/>
  <c r="V478" i="5"/>
  <c r="W478" i="5" s="1"/>
  <c r="V477" i="5"/>
  <c r="W477" i="5" s="1"/>
  <c r="V476" i="5"/>
  <c r="W476" i="5" s="1"/>
  <c r="V475" i="5"/>
  <c r="W475" i="5" s="1"/>
  <c r="V474" i="5"/>
  <c r="W474" i="5" s="1"/>
  <c r="V473" i="5"/>
  <c r="W473" i="5" s="1"/>
  <c r="V472" i="5"/>
  <c r="W472" i="5" s="1"/>
  <c r="V471" i="5"/>
  <c r="W471" i="5" s="1"/>
  <c r="V470" i="5"/>
  <c r="W470" i="5" s="1"/>
  <c r="V469" i="5"/>
  <c r="W469" i="5" s="1"/>
  <c r="V468" i="5"/>
  <c r="W468" i="5" s="1"/>
  <c r="V467" i="5"/>
  <c r="W467" i="5" s="1"/>
  <c r="V466" i="5"/>
  <c r="W466" i="5" s="1"/>
  <c r="V465" i="5"/>
  <c r="W465" i="5" s="1"/>
  <c r="V464" i="5"/>
  <c r="W464" i="5" s="1"/>
  <c r="V463" i="5"/>
  <c r="W463" i="5" s="1"/>
  <c r="V462" i="5"/>
  <c r="W462" i="5" s="1"/>
  <c r="V461" i="5"/>
  <c r="W461" i="5" s="1"/>
  <c r="V460" i="5"/>
  <c r="W460" i="5" s="1"/>
  <c r="V459" i="5"/>
  <c r="W459" i="5" s="1"/>
  <c r="V458" i="5"/>
  <c r="W458" i="5" s="1"/>
  <c r="V457" i="5"/>
  <c r="W457" i="5" s="1"/>
  <c r="V456" i="5"/>
  <c r="W456" i="5" s="1"/>
  <c r="V455" i="5"/>
  <c r="W455" i="5" s="1"/>
  <c r="V454" i="5"/>
  <c r="W454" i="5" s="1"/>
  <c r="V453" i="5"/>
  <c r="W453" i="5" s="1"/>
  <c r="V452" i="5"/>
  <c r="W452" i="5" s="1"/>
  <c r="V451" i="5"/>
  <c r="W451" i="5" s="1"/>
  <c r="V450" i="5"/>
  <c r="W450" i="5" s="1"/>
  <c r="V449" i="5"/>
  <c r="W449" i="5" s="1"/>
  <c r="V448" i="5"/>
  <c r="W448" i="5" s="1"/>
  <c r="V447" i="5"/>
  <c r="W447" i="5" s="1"/>
  <c r="V446" i="5"/>
  <c r="W446" i="5" s="1"/>
  <c r="V445" i="5"/>
  <c r="W445" i="5" s="1"/>
  <c r="V444" i="5"/>
  <c r="W444" i="5" s="1"/>
  <c r="V443" i="5"/>
  <c r="W443" i="5" s="1"/>
  <c r="V442" i="5"/>
  <c r="W442" i="5" s="1"/>
  <c r="V441" i="5"/>
  <c r="W441" i="5" s="1"/>
  <c r="V440" i="5"/>
  <c r="W440" i="5" s="1"/>
  <c r="V439" i="5"/>
  <c r="W439" i="5" s="1"/>
  <c r="V438" i="5"/>
  <c r="W438" i="5" s="1"/>
  <c r="V437" i="5"/>
  <c r="W437" i="5" s="1"/>
  <c r="V436" i="5"/>
  <c r="W436" i="5" s="1"/>
  <c r="V435" i="5"/>
  <c r="W435" i="5" s="1"/>
  <c r="V434" i="5"/>
  <c r="W434" i="5" s="1"/>
  <c r="V433" i="5"/>
  <c r="W433" i="5" s="1"/>
  <c r="V432" i="5"/>
  <c r="W432" i="5" s="1"/>
  <c r="V431" i="5"/>
  <c r="W431" i="5" s="1"/>
  <c r="V430" i="5"/>
  <c r="W430" i="5" s="1"/>
  <c r="V429" i="5"/>
  <c r="W429" i="5" s="1"/>
  <c r="V428" i="5"/>
  <c r="W428" i="5" s="1"/>
  <c r="V427" i="5"/>
  <c r="W427" i="5" s="1"/>
  <c r="V426" i="5"/>
  <c r="W426" i="5" s="1"/>
  <c r="V425" i="5"/>
  <c r="W425" i="5" s="1"/>
  <c r="V424" i="5"/>
  <c r="W424" i="5" s="1"/>
  <c r="V423" i="5"/>
  <c r="W423" i="5" s="1"/>
  <c r="V422" i="5"/>
  <c r="W422" i="5" s="1"/>
  <c r="V421" i="5"/>
  <c r="W421" i="5" s="1"/>
  <c r="V420" i="5"/>
  <c r="W420" i="5" s="1"/>
  <c r="V419" i="5"/>
  <c r="W419" i="5" s="1"/>
  <c r="V418" i="5"/>
  <c r="W418" i="5" s="1"/>
  <c r="V417" i="5"/>
  <c r="W417" i="5" s="1"/>
  <c r="V416" i="5"/>
  <c r="W416" i="5" s="1"/>
  <c r="V415" i="5"/>
  <c r="W415" i="5" s="1"/>
  <c r="V414" i="5"/>
  <c r="W414" i="5" s="1"/>
  <c r="V413" i="5"/>
  <c r="W413" i="5" s="1"/>
  <c r="V412" i="5"/>
  <c r="W412" i="5" s="1"/>
  <c r="V411" i="5"/>
  <c r="W411" i="5" s="1"/>
  <c r="V410" i="5"/>
  <c r="W410" i="5" s="1"/>
  <c r="V409" i="5"/>
  <c r="W409" i="5" s="1"/>
  <c r="V408" i="5"/>
  <c r="W408" i="5" s="1"/>
  <c r="V407" i="5"/>
  <c r="W407" i="5" s="1"/>
  <c r="V406" i="5"/>
  <c r="W406" i="5" s="1"/>
  <c r="V405" i="5"/>
  <c r="W405" i="5" s="1"/>
  <c r="V404" i="5"/>
  <c r="W404" i="5" s="1"/>
  <c r="V403" i="5"/>
  <c r="W403" i="5" s="1"/>
  <c r="V402" i="5"/>
  <c r="W402" i="5" s="1"/>
  <c r="V401" i="5"/>
  <c r="W401" i="5" s="1"/>
  <c r="V400" i="5"/>
  <c r="W400" i="5" s="1"/>
  <c r="V399" i="5"/>
  <c r="W399" i="5" s="1"/>
  <c r="V398" i="5"/>
  <c r="W398" i="5" s="1"/>
  <c r="V397" i="5"/>
  <c r="W397" i="5" s="1"/>
  <c r="V396" i="5"/>
  <c r="W396" i="5" s="1"/>
  <c r="V395" i="5"/>
  <c r="W395" i="5" s="1"/>
  <c r="V394" i="5"/>
  <c r="W394" i="5" s="1"/>
  <c r="V393" i="5"/>
  <c r="W393" i="5" s="1"/>
  <c r="V392" i="5"/>
  <c r="W392" i="5" s="1"/>
  <c r="V391" i="5"/>
  <c r="W391" i="5" s="1"/>
  <c r="V390" i="5"/>
  <c r="W390" i="5" s="1"/>
  <c r="V389" i="5"/>
  <c r="W389" i="5" s="1"/>
  <c r="V388" i="5"/>
  <c r="W388" i="5" s="1"/>
  <c r="V387" i="5"/>
  <c r="W387" i="5" s="1"/>
  <c r="V386" i="5"/>
  <c r="W386" i="5" s="1"/>
  <c r="V385" i="5"/>
  <c r="W385" i="5" s="1"/>
  <c r="V384" i="5"/>
  <c r="W384" i="5" s="1"/>
  <c r="V383" i="5"/>
  <c r="W383" i="5" s="1"/>
  <c r="V382" i="5"/>
  <c r="W382" i="5" s="1"/>
  <c r="V381" i="5"/>
  <c r="W381" i="5" s="1"/>
  <c r="V380" i="5"/>
  <c r="W380" i="5" s="1"/>
  <c r="V379" i="5"/>
  <c r="W379" i="5" s="1"/>
  <c r="V378" i="5"/>
  <c r="W378" i="5" s="1"/>
  <c r="V377" i="5"/>
  <c r="W377" i="5" s="1"/>
  <c r="V376" i="5"/>
  <c r="W376" i="5" s="1"/>
  <c r="V375" i="5"/>
  <c r="W375" i="5" s="1"/>
  <c r="V374" i="5"/>
  <c r="W374" i="5" s="1"/>
  <c r="V373" i="5"/>
  <c r="W373" i="5" s="1"/>
  <c r="V372" i="5"/>
  <c r="W372" i="5" s="1"/>
  <c r="V371" i="5"/>
  <c r="W371" i="5" s="1"/>
  <c r="V370" i="5"/>
  <c r="W370" i="5" s="1"/>
  <c r="V369" i="5"/>
  <c r="W369" i="5" s="1"/>
  <c r="V368" i="5"/>
  <c r="W368" i="5" s="1"/>
  <c r="V367" i="5"/>
  <c r="W367" i="5" s="1"/>
  <c r="V366" i="5"/>
  <c r="W366" i="5" s="1"/>
  <c r="V365" i="5"/>
  <c r="W365" i="5" s="1"/>
  <c r="V364" i="5"/>
  <c r="W364" i="5" s="1"/>
  <c r="V363" i="5"/>
  <c r="W363" i="5" s="1"/>
  <c r="V362" i="5"/>
  <c r="W362" i="5" s="1"/>
  <c r="V361" i="5"/>
  <c r="W361" i="5" s="1"/>
  <c r="V360" i="5"/>
  <c r="W360" i="5" s="1"/>
  <c r="V359" i="5"/>
  <c r="W359" i="5" s="1"/>
  <c r="V358" i="5"/>
  <c r="W358" i="5" s="1"/>
  <c r="V357" i="5"/>
  <c r="W357" i="5" s="1"/>
  <c r="V356" i="5"/>
  <c r="W356" i="5" s="1"/>
  <c r="V355" i="5"/>
  <c r="W355" i="5" s="1"/>
  <c r="V354" i="5"/>
  <c r="W354" i="5" s="1"/>
  <c r="V353" i="5"/>
  <c r="W353" i="5" s="1"/>
  <c r="V352" i="5"/>
  <c r="W352" i="5" s="1"/>
  <c r="V351" i="5"/>
  <c r="W351" i="5" s="1"/>
  <c r="V350" i="5"/>
  <c r="W350" i="5" s="1"/>
  <c r="V349" i="5"/>
  <c r="W349" i="5" s="1"/>
  <c r="V348" i="5"/>
  <c r="W348" i="5" s="1"/>
  <c r="V347" i="5"/>
  <c r="W347" i="5" s="1"/>
  <c r="V346" i="5"/>
  <c r="W346" i="5" s="1"/>
  <c r="V345" i="5"/>
  <c r="W345" i="5" s="1"/>
  <c r="V344" i="5"/>
  <c r="W344" i="5" s="1"/>
  <c r="V343" i="5"/>
  <c r="W343" i="5" s="1"/>
  <c r="V342" i="5"/>
  <c r="W342" i="5" s="1"/>
  <c r="V341" i="5"/>
  <c r="W341" i="5" s="1"/>
  <c r="V340" i="5"/>
  <c r="W340" i="5" s="1"/>
  <c r="V339" i="5"/>
  <c r="W339" i="5" s="1"/>
  <c r="V338" i="5"/>
  <c r="W338" i="5" s="1"/>
  <c r="V337" i="5"/>
  <c r="W337" i="5" s="1"/>
  <c r="V336" i="5"/>
  <c r="W336" i="5" s="1"/>
  <c r="V335" i="5"/>
  <c r="W335" i="5" s="1"/>
  <c r="V334" i="5"/>
  <c r="W334" i="5" s="1"/>
  <c r="V333" i="5"/>
  <c r="W333" i="5" s="1"/>
  <c r="V332" i="5"/>
  <c r="W332" i="5" s="1"/>
  <c r="V331" i="5"/>
  <c r="W331" i="5" s="1"/>
  <c r="V330" i="5"/>
  <c r="W330" i="5" s="1"/>
  <c r="V329" i="5"/>
  <c r="W329" i="5" s="1"/>
  <c r="V328" i="5"/>
  <c r="W328" i="5" s="1"/>
  <c r="V327" i="5"/>
  <c r="W327" i="5" s="1"/>
  <c r="V326" i="5"/>
  <c r="W326" i="5" s="1"/>
  <c r="V325" i="5"/>
  <c r="W325" i="5" s="1"/>
  <c r="V324" i="5"/>
  <c r="W324" i="5" s="1"/>
  <c r="V323" i="5"/>
  <c r="W323" i="5" s="1"/>
  <c r="V322" i="5"/>
  <c r="W322" i="5" s="1"/>
  <c r="V321" i="5"/>
  <c r="W321" i="5" s="1"/>
  <c r="V320" i="5"/>
  <c r="W320" i="5" s="1"/>
  <c r="V319" i="5"/>
  <c r="W319" i="5" s="1"/>
  <c r="V318" i="5"/>
  <c r="W318" i="5" s="1"/>
  <c r="V317" i="5"/>
  <c r="W317" i="5" s="1"/>
  <c r="V316" i="5"/>
  <c r="W316" i="5" s="1"/>
  <c r="V315" i="5"/>
  <c r="W315" i="5" s="1"/>
  <c r="V314" i="5"/>
  <c r="W314" i="5" s="1"/>
  <c r="V313" i="5"/>
  <c r="W313" i="5" s="1"/>
  <c r="V312" i="5"/>
  <c r="W312" i="5" s="1"/>
  <c r="V311" i="5"/>
  <c r="W311" i="5" s="1"/>
  <c r="V310" i="5"/>
  <c r="W310" i="5" s="1"/>
  <c r="V309" i="5"/>
  <c r="W309" i="5" s="1"/>
  <c r="V308" i="5"/>
  <c r="W308" i="5" s="1"/>
  <c r="V307" i="5"/>
  <c r="W307" i="5" s="1"/>
  <c r="V306" i="5"/>
  <c r="W306" i="5" s="1"/>
  <c r="V305" i="5"/>
  <c r="W305" i="5" s="1"/>
  <c r="V304" i="5"/>
  <c r="W304" i="5" s="1"/>
  <c r="V303" i="5"/>
  <c r="W303" i="5" s="1"/>
  <c r="V302" i="5"/>
  <c r="W302" i="5" s="1"/>
  <c r="V301" i="5"/>
  <c r="W301" i="5" s="1"/>
  <c r="V300" i="5"/>
  <c r="W300" i="5" s="1"/>
  <c r="V299" i="5"/>
  <c r="W299" i="5" s="1"/>
  <c r="V298" i="5"/>
  <c r="W298" i="5" s="1"/>
  <c r="V297" i="5"/>
  <c r="W297" i="5" s="1"/>
  <c r="V296" i="5"/>
  <c r="W296" i="5" s="1"/>
  <c r="V295" i="5"/>
  <c r="W295" i="5" s="1"/>
  <c r="V294" i="5"/>
  <c r="W294" i="5" s="1"/>
  <c r="V293" i="5"/>
  <c r="W293" i="5" s="1"/>
  <c r="V292" i="5"/>
  <c r="W292" i="5" s="1"/>
  <c r="V291" i="5"/>
  <c r="W291" i="5" s="1"/>
  <c r="V290" i="5"/>
  <c r="W290" i="5" s="1"/>
  <c r="V289" i="5"/>
  <c r="W289" i="5" s="1"/>
  <c r="V288" i="5"/>
  <c r="W288" i="5" s="1"/>
  <c r="V287" i="5"/>
  <c r="W287" i="5" s="1"/>
  <c r="V286" i="5"/>
  <c r="W286" i="5" s="1"/>
  <c r="V285" i="5"/>
  <c r="W285" i="5" s="1"/>
  <c r="V284" i="5"/>
  <c r="W284" i="5" s="1"/>
  <c r="V283" i="5"/>
  <c r="W283" i="5" s="1"/>
  <c r="V282" i="5"/>
  <c r="W282" i="5" s="1"/>
  <c r="V281" i="5"/>
  <c r="W281" i="5" s="1"/>
  <c r="V280" i="5"/>
  <c r="W280" i="5" s="1"/>
  <c r="V279" i="5"/>
  <c r="W279" i="5" s="1"/>
  <c r="V278" i="5"/>
  <c r="W278" i="5" s="1"/>
  <c r="V277" i="5"/>
  <c r="W277" i="5" s="1"/>
  <c r="V276" i="5"/>
  <c r="W276" i="5" s="1"/>
  <c r="V275" i="5"/>
  <c r="W275" i="5" s="1"/>
  <c r="V274" i="5"/>
  <c r="W274" i="5" s="1"/>
  <c r="V273" i="5"/>
  <c r="W273" i="5" s="1"/>
  <c r="V272" i="5"/>
  <c r="W272" i="5" s="1"/>
  <c r="V271" i="5"/>
  <c r="W271" i="5" s="1"/>
  <c r="V270" i="5"/>
  <c r="W270" i="5" s="1"/>
  <c r="V269" i="5"/>
  <c r="W269" i="5" s="1"/>
  <c r="V268" i="5"/>
  <c r="W268" i="5" s="1"/>
  <c r="V267" i="5"/>
  <c r="W267" i="5" s="1"/>
  <c r="V266" i="5"/>
  <c r="W266" i="5" s="1"/>
  <c r="V265" i="5"/>
  <c r="W265" i="5" s="1"/>
  <c r="V264" i="5"/>
  <c r="W264" i="5" s="1"/>
  <c r="V263" i="5"/>
  <c r="W263" i="5" s="1"/>
  <c r="V262" i="5"/>
  <c r="W262" i="5" s="1"/>
  <c r="V261" i="5"/>
  <c r="W261" i="5" s="1"/>
  <c r="V260" i="5"/>
  <c r="W260" i="5" s="1"/>
  <c r="V259" i="5"/>
  <c r="W259" i="5" s="1"/>
  <c r="V258" i="5"/>
  <c r="W258" i="5" s="1"/>
  <c r="V257" i="5"/>
  <c r="W257" i="5" s="1"/>
  <c r="V256" i="5"/>
  <c r="W256" i="5" s="1"/>
  <c r="V255" i="5"/>
  <c r="W255" i="5" s="1"/>
  <c r="V254" i="5"/>
  <c r="W254" i="5" s="1"/>
  <c r="V253" i="5"/>
  <c r="W253" i="5" s="1"/>
  <c r="V252" i="5"/>
  <c r="W252" i="5" s="1"/>
  <c r="V251" i="5"/>
  <c r="W251" i="5" s="1"/>
  <c r="V250" i="5"/>
  <c r="W250" i="5" s="1"/>
  <c r="V249" i="5"/>
  <c r="W249" i="5" s="1"/>
  <c r="V248" i="5"/>
  <c r="W248" i="5" s="1"/>
  <c r="V247" i="5"/>
  <c r="W247" i="5" s="1"/>
  <c r="V246" i="5"/>
  <c r="W246" i="5" s="1"/>
  <c r="V245" i="5"/>
  <c r="W245" i="5" s="1"/>
  <c r="V244" i="5"/>
  <c r="W244" i="5" s="1"/>
  <c r="V243" i="5"/>
  <c r="W243" i="5" s="1"/>
  <c r="V242" i="5"/>
  <c r="W242" i="5" s="1"/>
  <c r="V241" i="5"/>
  <c r="W241" i="5" s="1"/>
  <c r="V240" i="5"/>
  <c r="W240" i="5" s="1"/>
  <c r="V239" i="5"/>
  <c r="W239" i="5" s="1"/>
  <c r="V238" i="5"/>
  <c r="W238" i="5" s="1"/>
  <c r="V237" i="5"/>
  <c r="W237" i="5" s="1"/>
  <c r="V236" i="5"/>
  <c r="W236" i="5" s="1"/>
  <c r="V235" i="5"/>
  <c r="W235" i="5" s="1"/>
  <c r="V234" i="5"/>
  <c r="W234" i="5" s="1"/>
  <c r="V233" i="5"/>
  <c r="W233" i="5" s="1"/>
  <c r="V232" i="5"/>
  <c r="W232" i="5" s="1"/>
  <c r="V231" i="5"/>
  <c r="W231" i="5" s="1"/>
  <c r="V230" i="5"/>
  <c r="W230" i="5" s="1"/>
  <c r="V229" i="5"/>
  <c r="W229" i="5" s="1"/>
  <c r="V228" i="5"/>
  <c r="W228" i="5" s="1"/>
  <c r="V227" i="5"/>
  <c r="W227" i="5" s="1"/>
  <c r="V226" i="5"/>
  <c r="W226" i="5" s="1"/>
  <c r="V225" i="5"/>
  <c r="W225" i="5" s="1"/>
  <c r="V224" i="5"/>
  <c r="W224" i="5" s="1"/>
  <c r="V223" i="5"/>
  <c r="W223" i="5" s="1"/>
  <c r="V222" i="5"/>
  <c r="W222" i="5" s="1"/>
  <c r="V221" i="5"/>
  <c r="W221" i="5" s="1"/>
  <c r="V220" i="5"/>
  <c r="W220" i="5" s="1"/>
  <c r="V219" i="5"/>
  <c r="W219" i="5" s="1"/>
  <c r="V218" i="5"/>
  <c r="W218" i="5" s="1"/>
  <c r="V217" i="5"/>
  <c r="W217" i="5" s="1"/>
  <c r="V216" i="5"/>
  <c r="W216" i="5" s="1"/>
  <c r="V215" i="5"/>
  <c r="W215" i="5" s="1"/>
  <c r="V214" i="5"/>
  <c r="W214" i="5" s="1"/>
  <c r="V213" i="5"/>
  <c r="W213" i="5" s="1"/>
  <c r="V212" i="5"/>
  <c r="W212" i="5" s="1"/>
  <c r="V211" i="5"/>
  <c r="W211" i="5" s="1"/>
  <c r="V210" i="5"/>
  <c r="W210" i="5" s="1"/>
  <c r="V209" i="5"/>
  <c r="W209" i="5" s="1"/>
  <c r="V208" i="5"/>
  <c r="W208" i="5" s="1"/>
  <c r="V207" i="5"/>
  <c r="W207" i="5" s="1"/>
  <c r="V206" i="5"/>
  <c r="W206" i="5" s="1"/>
  <c r="V205" i="5"/>
  <c r="W205" i="5" s="1"/>
  <c r="V204" i="5"/>
  <c r="W204" i="5" s="1"/>
  <c r="V203" i="5"/>
  <c r="W203" i="5" s="1"/>
  <c r="V202" i="5"/>
  <c r="W202" i="5" s="1"/>
  <c r="V201" i="5"/>
  <c r="W201" i="5" s="1"/>
  <c r="V200" i="5"/>
  <c r="W200" i="5" s="1"/>
  <c r="V199" i="5"/>
  <c r="W199" i="5" s="1"/>
  <c r="V198" i="5"/>
  <c r="W198" i="5" s="1"/>
  <c r="V197" i="5"/>
  <c r="W197" i="5" s="1"/>
  <c r="V196" i="5"/>
  <c r="W196" i="5" s="1"/>
  <c r="V195" i="5"/>
  <c r="W195" i="5" s="1"/>
  <c r="V194" i="5"/>
  <c r="W194" i="5" s="1"/>
  <c r="V193" i="5"/>
  <c r="W193" i="5" s="1"/>
  <c r="V192" i="5"/>
  <c r="W192" i="5" s="1"/>
  <c r="V191" i="5"/>
  <c r="W191" i="5" s="1"/>
  <c r="V190" i="5"/>
  <c r="W190" i="5" s="1"/>
  <c r="V189" i="5"/>
  <c r="W189" i="5" s="1"/>
  <c r="V188" i="5"/>
  <c r="W188" i="5" s="1"/>
  <c r="V187" i="5"/>
  <c r="W187" i="5" s="1"/>
  <c r="V186" i="5"/>
  <c r="W186" i="5" s="1"/>
  <c r="V185" i="5"/>
  <c r="W185" i="5" s="1"/>
  <c r="V184" i="5"/>
  <c r="W184" i="5" s="1"/>
  <c r="V183" i="5"/>
  <c r="W183" i="5" s="1"/>
  <c r="V182" i="5"/>
  <c r="W182" i="5" s="1"/>
  <c r="V181" i="5"/>
  <c r="W181" i="5" s="1"/>
  <c r="V180" i="5"/>
  <c r="W180" i="5" s="1"/>
  <c r="V179" i="5"/>
  <c r="W179" i="5" s="1"/>
  <c r="V178" i="5"/>
  <c r="W178" i="5" s="1"/>
  <c r="V177" i="5"/>
  <c r="W177" i="5" s="1"/>
  <c r="V176" i="5"/>
  <c r="W176" i="5" s="1"/>
  <c r="V175" i="5"/>
  <c r="W175" i="5" s="1"/>
  <c r="V174" i="5"/>
  <c r="W174" i="5" s="1"/>
  <c r="V173" i="5"/>
  <c r="W173" i="5" s="1"/>
  <c r="V172" i="5"/>
  <c r="W172" i="5" s="1"/>
  <c r="V171" i="5"/>
  <c r="W171" i="5" s="1"/>
  <c r="V170" i="5"/>
  <c r="W170" i="5" s="1"/>
  <c r="V169" i="5"/>
  <c r="W169" i="5" s="1"/>
  <c r="V168" i="5"/>
  <c r="W168" i="5" s="1"/>
  <c r="V167" i="5"/>
  <c r="W167" i="5" s="1"/>
  <c r="V166" i="5"/>
  <c r="W166" i="5" s="1"/>
  <c r="V165" i="5"/>
  <c r="W165" i="5" s="1"/>
  <c r="V164" i="5"/>
  <c r="W164" i="5" s="1"/>
  <c r="V163" i="5"/>
  <c r="W163" i="5" s="1"/>
  <c r="V162" i="5"/>
  <c r="W162" i="5" s="1"/>
  <c r="V161" i="5"/>
  <c r="W161" i="5" s="1"/>
  <c r="V160" i="5"/>
  <c r="W160" i="5" s="1"/>
  <c r="V159" i="5"/>
  <c r="W159" i="5" s="1"/>
  <c r="V158" i="5"/>
  <c r="W158" i="5" s="1"/>
  <c r="V157" i="5"/>
  <c r="W157" i="5" s="1"/>
  <c r="V156" i="5"/>
  <c r="W156" i="5" s="1"/>
  <c r="V155" i="5"/>
  <c r="W155" i="5" s="1"/>
  <c r="V154" i="5"/>
  <c r="W154" i="5" s="1"/>
  <c r="V153" i="5"/>
  <c r="W153" i="5" s="1"/>
  <c r="V152" i="5"/>
  <c r="W152" i="5" s="1"/>
  <c r="V151" i="5"/>
  <c r="W151" i="5" s="1"/>
  <c r="V150" i="5"/>
  <c r="W150" i="5" s="1"/>
  <c r="V149" i="5"/>
  <c r="W149" i="5" s="1"/>
  <c r="V148" i="5"/>
  <c r="W148" i="5" s="1"/>
  <c r="V147" i="5"/>
  <c r="W147" i="5" s="1"/>
  <c r="V146" i="5"/>
  <c r="W146" i="5" s="1"/>
  <c r="V145" i="5"/>
  <c r="W145" i="5" s="1"/>
  <c r="V144" i="5"/>
  <c r="W144" i="5" s="1"/>
  <c r="V143" i="5"/>
  <c r="W143" i="5" s="1"/>
  <c r="V142" i="5"/>
  <c r="W142" i="5" s="1"/>
  <c r="V141" i="5"/>
  <c r="W141" i="5" s="1"/>
  <c r="V140" i="5"/>
  <c r="W140" i="5" s="1"/>
  <c r="V139" i="5"/>
  <c r="W139" i="5" s="1"/>
  <c r="V138" i="5"/>
  <c r="W138" i="5" s="1"/>
  <c r="V137" i="5"/>
  <c r="W137" i="5" s="1"/>
  <c r="V136" i="5"/>
  <c r="W136" i="5" s="1"/>
  <c r="V135" i="5"/>
  <c r="W135" i="5" s="1"/>
  <c r="V134" i="5"/>
  <c r="W134" i="5" s="1"/>
  <c r="V133" i="5"/>
  <c r="W133" i="5" s="1"/>
  <c r="V132" i="5"/>
  <c r="W132" i="5" s="1"/>
  <c r="V131" i="5"/>
  <c r="W131" i="5" s="1"/>
  <c r="V130" i="5"/>
  <c r="W130" i="5" s="1"/>
  <c r="V129" i="5"/>
  <c r="W129" i="5" s="1"/>
  <c r="V128" i="5"/>
  <c r="W128" i="5" s="1"/>
  <c r="V127" i="5"/>
  <c r="W127" i="5" s="1"/>
  <c r="V126" i="5"/>
  <c r="W126" i="5" s="1"/>
  <c r="V125" i="5"/>
  <c r="W125" i="5" s="1"/>
  <c r="V124" i="5"/>
  <c r="W124" i="5" s="1"/>
  <c r="V123" i="5"/>
  <c r="W123" i="5" s="1"/>
  <c r="V122" i="5"/>
  <c r="W122" i="5" s="1"/>
  <c r="V121" i="5"/>
  <c r="W121" i="5" s="1"/>
  <c r="V120" i="5"/>
  <c r="W120" i="5" s="1"/>
  <c r="V119" i="5"/>
  <c r="W119" i="5" s="1"/>
  <c r="V118" i="5"/>
  <c r="W118" i="5" s="1"/>
  <c r="V117" i="5"/>
  <c r="W117" i="5" s="1"/>
  <c r="V116" i="5"/>
  <c r="W116" i="5" s="1"/>
  <c r="V115" i="5"/>
  <c r="W115" i="5" s="1"/>
  <c r="V114" i="5"/>
  <c r="W114" i="5" s="1"/>
  <c r="V113" i="5"/>
  <c r="W113" i="5" s="1"/>
  <c r="V112" i="5"/>
  <c r="W112" i="5" s="1"/>
  <c r="V111" i="5"/>
  <c r="W111" i="5" s="1"/>
  <c r="V110" i="5"/>
  <c r="W110" i="5" s="1"/>
  <c r="V109" i="5"/>
  <c r="W109" i="5" s="1"/>
  <c r="V108" i="5"/>
  <c r="W108" i="5" s="1"/>
  <c r="V107" i="5"/>
  <c r="W107" i="5" s="1"/>
  <c r="V106" i="5"/>
  <c r="W106" i="5" s="1"/>
  <c r="V105" i="5"/>
  <c r="W105" i="5" s="1"/>
  <c r="V104" i="5"/>
  <c r="W104" i="5" s="1"/>
  <c r="V103" i="5"/>
  <c r="W103" i="5" s="1"/>
  <c r="V102" i="5"/>
  <c r="W102" i="5" s="1"/>
  <c r="V101" i="5"/>
  <c r="W101" i="5" s="1"/>
  <c r="V100" i="5"/>
  <c r="W100" i="5" s="1"/>
  <c r="V99" i="5"/>
  <c r="W99" i="5" s="1"/>
  <c r="V98" i="5"/>
  <c r="W98" i="5" s="1"/>
  <c r="V97" i="5"/>
  <c r="W97" i="5" s="1"/>
  <c r="V96" i="5"/>
  <c r="W96" i="5" s="1"/>
  <c r="V95" i="5"/>
  <c r="W95" i="5" s="1"/>
  <c r="V94" i="5"/>
  <c r="W94" i="5" s="1"/>
  <c r="V93" i="5"/>
  <c r="W93" i="5" s="1"/>
  <c r="V92" i="5"/>
  <c r="W92" i="5" s="1"/>
  <c r="V91" i="5"/>
  <c r="W91" i="5" s="1"/>
  <c r="V90" i="5"/>
  <c r="W90" i="5" s="1"/>
  <c r="V89" i="5"/>
  <c r="W89" i="5" s="1"/>
  <c r="V88" i="5"/>
  <c r="W88" i="5" s="1"/>
  <c r="V87" i="5"/>
  <c r="W87" i="5" s="1"/>
  <c r="V86" i="5"/>
  <c r="W86" i="5" s="1"/>
  <c r="V85" i="5"/>
  <c r="W85" i="5" s="1"/>
  <c r="V84" i="5"/>
  <c r="W84" i="5" s="1"/>
  <c r="V83" i="5"/>
  <c r="W83" i="5" s="1"/>
  <c r="V82" i="5"/>
  <c r="W82" i="5" s="1"/>
  <c r="V81" i="5"/>
  <c r="W81" i="5" s="1"/>
  <c r="V80" i="5"/>
  <c r="W80" i="5" s="1"/>
  <c r="V79" i="5"/>
  <c r="W79" i="5" s="1"/>
  <c r="V78" i="5"/>
  <c r="W78" i="5" s="1"/>
  <c r="V77" i="5"/>
  <c r="W77" i="5" s="1"/>
  <c r="V76" i="5"/>
  <c r="W76" i="5" s="1"/>
  <c r="V75" i="5"/>
  <c r="W75" i="5" s="1"/>
  <c r="V74" i="5"/>
  <c r="W74" i="5" s="1"/>
  <c r="V73" i="5"/>
  <c r="W73" i="5" s="1"/>
  <c r="V72" i="5"/>
  <c r="W72" i="5" s="1"/>
  <c r="V71" i="5"/>
  <c r="W71" i="5" s="1"/>
  <c r="V70" i="5"/>
  <c r="W70" i="5" s="1"/>
  <c r="V69" i="5"/>
  <c r="W69" i="5" s="1"/>
  <c r="V68" i="5"/>
  <c r="W68" i="5" s="1"/>
  <c r="V67" i="5"/>
  <c r="W67" i="5" s="1"/>
  <c r="V66" i="5"/>
  <c r="W66" i="5" s="1"/>
  <c r="V65" i="5"/>
  <c r="W65" i="5" s="1"/>
  <c r="V64" i="5"/>
  <c r="W64" i="5" s="1"/>
  <c r="V63" i="5"/>
  <c r="W63" i="5" s="1"/>
  <c r="V62" i="5"/>
  <c r="W62" i="5" s="1"/>
  <c r="V61" i="5"/>
  <c r="W61" i="5" s="1"/>
  <c r="V60" i="5"/>
  <c r="W60" i="5" s="1"/>
  <c r="V59" i="5"/>
  <c r="W59" i="5" s="1"/>
  <c r="V58" i="5"/>
  <c r="W58" i="5" s="1"/>
  <c r="V57" i="5"/>
  <c r="W57" i="5" s="1"/>
  <c r="V56" i="5"/>
  <c r="W56" i="5" s="1"/>
  <c r="V55" i="5"/>
  <c r="W55" i="5" s="1"/>
  <c r="V54" i="5"/>
  <c r="W54" i="5" s="1"/>
  <c r="V53" i="5"/>
  <c r="W53" i="5" s="1"/>
  <c r="V52" i="5"/>
  <c r="W52" i="5" s="1"/>
  <c r="V51" i="5"/>
  <c r="W51" i="5" s="1"/>
  <c r="V50" i="5"/>
  <c r="W50" i="5" s="1"/>
  <c r="V49" i="5"/>
  <c r="W49" i="5" s="1"/>
  <c r="V48" i="5"/>
  <c r="W48" i="5" s="1"/>
  <c r="V47" i="5"/>
  <c r="W47" i="5" s="1"/>
  <c r="V46" i="5"/>
  <c r="W46" i="5" s="1"/>
  <c r="V45" i="5"/>
  <c r="W45" i="5" s="1"/>
  <c r="V44" i="5"/>
  <c r="W44" i="5" s="1"/>
  <c r="V43" i="5"/>
  <c r="W43" i="5" s="1"/>
  <c r="V42" i="5"/>
  <c r="W42" i="5" s="1"/>
  <c r="V41" i="5"/>
  <c r="W41" i="5" s="1"/>
  <c r="V40" i="5"/>
  <c r="W40" i="5" s="1"/>
  <c r="V39" i="5"/>
  <c r="W39" i="5" s="1"/>
  <c r="V38" i="5"/>
  <c r="W38" i="5" s="1"/>
  <c r="V37" i="5"/>
  <c r="W37" i="5" s="1"/>
  <c r="V36" i="5"/>
  <c r="W36" i="5" s="1"/>
  <c r="V35" i="5"/>
  <c r="W35" i="5" s="1"/>
  <c r="V34" i="5"/>
  <c r="W34" i="5" s="1"/>
  <c r="V33" i="5"/>
  <c r="W33" i="5" s="1"/>
  <c r="V32" i="5"/>
  <c r="W32" i="5" s="1"/>
  <c r="V31" i="5"/>
  <c r="W31" i="5" s="1"/>
  <c r="V30" i="5"/>
  <c r="W30" i="5" s="1"/>
  <c r="V29" i="5"/>
  <c r="W29" i="5" s="1"/>
  <c r="V28" i="5"/>
  <c r="W28" i="5" s="1"/>
  <c r="V27" i="5"/>
  <c r="W27" i="5" s="1"/>
  <c r="V26" i="5"/>
  <c r="W26" i="5" s="1"/>
  <c r="V25" i="5"/>
  <c r="W25" i="5" s="1"/>
  <c r="V24" i="5"/>
  <c r="W24" i="5" s="1"/>
  <c r="V23" i="5"/>
  <c r="W23" i="5" s="1"/>
  <c r="V22" i="5"/>
  <c r="W22" i="5" s="1"/>
  <c r="V21" i="5"/>
  <c r="W21" i="5" s="1"/>
  <c r="V20" i="5"/>
  <c r="W20" i="5" s="1"/>
  <c r="V19" i="5"/>
  <c r="W19" i="5" s="1"/>
  <c r="V18" i="5"/>
  <c r="W18" i="5" s="1"/>
  <c r="V17" i="5"/>
  <c r="W17" i="5" s="1"/>
  <c r="V16" i="5"/>
  <c r="W16" i="5" s="1"/>
  <c r="V15" i="5"/>
  <c r="W15" i="5" s="1"/>
  <c r="V14" i="5"/>
  <c r="W14" i="5" s="1"/>
  <c r="V13" i="5"/>
  <c r="W13" i="5" s="1"/>
  <c r="V12" i="5"/>
  <c r="W12" i="5" s="1"/>
  <c r="V11" i="5"/>
  <c r="W11" i="5" s="1"/>
  <c r="V10" i="5"/>
  <c r="W10" i="5" s="1"/>
  <c r="V9" i="5"/>
  <c r="W9" i="5" s="1"/>
  <c r="V8" i="5"/>
  <c r="W8" i="5" s="1"/>
  <c r="V7" i="5"/>
  <c r="W7" i="5" s="1"/>
  <c r="V6" i="5"/>
  <c r="W6" i="5" s="1"/>
  <c r="V5" i="5"/>
  <c r="W5" i="5" s="1"/>
  <c r="V4" i="5"/>
  <c r="W4" i="5" s="1"/>
  <c r="V3" i="5"/>
  <c r="W3" i="5" s="1"/>
  <c r="V2" i="5"/>
  <c r="W2" i="5" s="1"/>
  <c r="AG4" i="1"/>
  <c r="AH4" i="1" s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G19" i="1"/>
  <c r="AH19" i="1" s="1"/>
  <c r="AG20" i="1"/>
  <c r="AH20" i="1" s="1"/>
  <c r="AG21" i="1"/>
  <c r="AH21" i="1" s="1"/>
  <c r="AG22" i="1"/>
  <c r="AH22" i="1" s="1"/>
  <c r="AG23" i="1"/>
  <c r="AH23" i="1" s="1"/>
  <c r="AG24" i="1"/>
  <c r="AH24" i="1" s="1"/>
  <c r="AG25" i="1"/>
  <c r="AH25" i="1" s="1"/>
  <c r="AG26" i="1"/>
  <c r="AH26" i="1" s="1"/>
  <c r="AG27" i="1"/>
  <c r="AH27" i="1" s="1"/>
  <c r="AG28" i="1"/>
  <c r="AH28" i="1" s="1"/>
  <c r="AG29" i="1"/>
  <c r="AH29" i="1" s="1"/>
  <c r="AG30" i="1"/>
  <c r="AH30" i="1" s="1"/>
  <c r="AG31" i="1"/>
  <c r="AH31" i="1" s="1"/>
  <c r="AG32" i="1"/>
  <c r="AH32" i="1" s="1"/>
  <c r="AG33" i="1"/>
  <c r="AH33" i="1" s="1"/>
  <c r="AG34" i="1"/>
  <c r="AH34" i="1" s="1"/>
  <c r="AG35" i="1"/>
  <c r="AH35" i="1" s="1"/>
  <c r="AG36" i="1"/>
  <c r="AH36" i="1" s="1"/>
  <c r="AG37" i="1"/>
  <c r="AH37" i="1" s="1"/>
  <c r="AG38" i="1"/>
  <c r="AH38" i="1" s="1"/>
  <c r="AG39" i="1"/>
  <c r="AH39" i="1" s="1"/>
  <c r="AG40" i="1"/>
  <c r="AH40" i="1" s="1"/>
  <c r="AG41" i="1"/>
  <c r="AH41" i="1" s="1"/>
  <c r="AG42" i="1"/>
  <c r="AH42" i="1" s="1"/>
  <c r="AG43" i="1"/>
  <c r="AH43" i="1" s="1"/>
  <c r="AG44" i="1"/>
  <c r="AH44" i="1" s="1"/>
  <c r="AG45" i="1"/>
  <c r="AH45" i="1" s="1"/>
  <c r="AG46" i="1"/>
  <c r="AH46" i="1" s="1"/>
  <c r="AG47" i="1"/>
  <c r="AH47" i="1" s="1"/>
  <c r="AG48" i="1"/>
  <c r="AH48" i="1" s="1"/>
  <c r="AG49" i="1"/>
  <c r="AH49" i="1" s="1"/>
  <c r="AG50" i="1"/>
  <c r="AH50" i="1" s="1"/>
  <c r="AG51" i="1"/>
  <c r="AH51" i="1" s="1"/>
  <c r="AG52" i="1"/>
  <c r="AH52" i="1" s="1"/>
  <c r="AG53" i="1"/>
  <c r="AH53" i="1" s="1"/>
  <c r="AG54" i="1"/>
  <c r="AH54" i="1" s="1"/>
  <c r="AG55" i="1"/>
  <c r="AH55" i="1" s="1"/>
  <c r="AG56" i="1"/>
  <c r="AH56" i="1" s="1"/>
  <c r="AG57" i="1"/>
  <c r="AH57" i="1" s="1"/>
  <c r="AG58" i="1"/>
  <c r="AH58" i="1" s="1"/>
  <c r="AG59" i="1"/>
  <c r="AH59" i="1" s="1"/>
  <c r="AG60" i="1"/>
  <c r="AH60" i="1" s="1"/>
  <c r="AG61" i="1"/>
  <c r="AH61" i="1" s="1"/>
  <c r="AG62" i="1"/>
  <c r="AH62" i="1" s="1"/>
  <c r="AG63" i="1"/>
  <c r="AH63" i="1" s="1"/>
  <c r="AG64" i="1"/>
  <c r="AH64" i="1" s="1"/>
  <c r="AG65" i="1"/>
  <c r="AH65" i="1" s="1"/>
  <c r="AG66" i="1"/>
  <c r="AH66" i="1" s="1"/>
  <c r="AG67" i="1"/>
  <c r="AH67" i="1" s="1"/>
  <c r="AG68" i="1"/>
  <c r="AH68" i="1" s="1"/>
  <c r="AG69" i="1"/>
  <c r="AH69" i="1" s="1"/>
  <c r="AG70" i="1"/>
  <c r="AH70" i="1" s="1"/>
  <c r="AG71" i="1"/>
  <c r="AH71" i="1" s="1"/>
  <c r="AG72" i="1"/>
  <c r="AH72" i="1" s="1"/>
  <c r="AG73" i="1"/>
  <c r="AH73" i="1" s="1"/>
  <c r="AG74" i="1"/>
  <c r="AH74" i="1" s="1"/>
  <c r="AG75" i="1"/>
  <c r="AH75" i="1" s="1"/>
  <c r="AG76" i="1"/>
  <c r="AH76" i="1" s="1"/>
  <c r="AG77" i="1"/>
  <c r="AH77" i="1" s="1"/>
  <c r="AG78" i="1"/>
  <c r="AH78" i="1" s="1"/>
  <c r="AG79" i="1"/>
  <c r="AH79" i="1" s="1"/>
  <c r="AG80" i="1"/>
  <c r="AH80" i="1" s="1"/>
  <c r="AG81" i="1"/>
  <c r="AH81" i="1" s="1"/>
  <c r="AG82" i="1"/>
  <c r="AH82" i="1" s="1"/>
  <c r="AG83" i="1"/>
  <c r="AH83" i="1" s="1"/>
  <c r="AG84" i="1"/>
  <c r="AH84" i="1" s="1"/>
  <c r="AG85" i="1"/>
  <c r="AH85" i="1" s="1"/>
  <c r="AG86" i="1"/>
  <c r="AH86" i="1" s="1"/>
  <c r="AG87" i="1"/>
  <c r="AH87" i="1" s="1"/>
  <c r="AG88" i="1"/>
  <c r="AH88" i="1" s="1"/>
  <c r="AG89" i="1"/>
  <c r="AH89" i="1" s="1"/>
  <c r="AG90" i="1"/>
  <c r="AH90" i="1" s="1"/>
  <c r="AG91" i="1"/>
  <c r="AH91" i="1" s="1"/>
  <c r="AG92" i="1"/>
  <c r="AH92" i="1" s="1"/>
  <c r="AG93" i="1"/>
  <c r="AH93" i="1" s="1"/>
  <c r="AG94" i="1"/>
  <c r="AH94" i="1" s="1"/>
  <c r="AG95" i="1"/>
  <c r="AH95" i="1" s="1"/>
  <c r="AG96" i="1"/>
  <c r="AH96" i="1" s="1"/>
  <c r="AG97" i="1"/>
  <c r="AH97" i="1" s="1"/>
  <c r="AG98" i="1"/>
  <c r="AH98" i="1" s="1"/>
  <c r="AG99" i="1"/>
  <c r="AH99" i="1" s="1"/>
  <c r="AG100" i="1"/>
  <c r="AH100" i="1" s="1"/>
  <c r="AG101" i="1"/>
  <c r="AH101" i="1" s="1"/>
  <c r="AG102" i="1"/>
  <c r="AH102" i="1" s="1"/>
  <c r="AG103" i="1"/>
  <c r="AH103" i="1" s="1"/>
  <c r="AG104" i="1"/>
  <c r="AH104" i="1" s="1"/>
  <c r="AG105" i="1"/>
  <c r="AH105" i="1" s="1"/>
  <c r="AG106" i="1"/>
  <c r="AH106" i="1" s="1"/>
  <c r="AG107" i="1"/>
  <c r="AH107" i="1" s="1"/>
  <c r="AG108" i="1"/>
  <c r="AH108" i="1" s="1"/>
  <c r="AG109" i="1"/>
  <c r="AH109" i="1" s="1"/>
  <c r="AG110" i="1"/>
  <c r="AH110" i="1" s="1"/>
  <c r="AG111" i="1"/>
  <c r="AH111" i="1" s="1"/>
  <c r="AG112" i="1"/>
  <c r="AH112" i="1" s="1"/>
  <c r="AG113" i="1"/>
  <c r="AH113" i="1" s="1"/>
  <c r="AG114" i="1"/>
  <c r="AH114" i="1" s="1"/>
  <c r="AG115" i="1"/>
  <c r="AH115" i="1" s="1"/>
  <c r="AG116" i="1"/>
  <c r="AH116" i="1" s="1"/>
  <c r="AG117" i="1"/>
  <c r="AH117" i="1" s="1"/>
  <c r="AG118" i="1"/>
  <c r="AH118" i="1" s="1"/>
  <c r="AG119" i="1"/>
  <c r="AH119" i="1" s="1"/>
  <c r="AG120" i="1"/>
  <c r="AH120" i="1" s="1"/>
  <c r="AG121" i="1"/>
  <c r="AH121" i="1" s="1"/>
  <c r="AG122" i="1"/>
  <c r="AH122" i="1" s="1"/>
  <c r="AG123" i="1"/>
  <c r="AH123" i="1" s="1"/>
  <c r="AG124" i="1"/>
  <c r="AH124" i="1" s="1"/>
  <c r="AG125" i="1"/>
  <c r="AH125" i="1" s="1"/>
  <c r="AG126" i="1"/>
  <c r="AH126" i="1" s="1"/>
  <c r="AG127" i="1"/>
  <c r="AH127" i="1" s="1"/>
  <c r="AG128" i="1"/>
  <c r="AH128" i="1" s="1"/>
  <c r="AG129" i="1"/>
  <c r="AH129" i="1" s="1"/>
  <c r="AG130" i="1"/>
  <c r="AH130" i="1" s="1"/>
  <c r="AG131" i="1"/>
  <c r="AH131" i="1" s="1"/>
  <c r="AG132" i="1"/>
  <c r="AH132" i="1" s="1"/>
  <c r="AG133" i="1"/>
  <c r="AH133" i="1" s="1"/>
  <c r="AG134" i="1"/>
  <c r="AH134" i="1" s="1"/>
  <c r="AG135" i="1"/>
  <c r="AH135" i="1" s="1"/>
  <c r="AG136" i="1"/>
  <c r="AH136" i="1" s="1"/>
  <c r="AG137" i="1"/>
  <c r="AH137" i="1" s="1"/>
  <c r="AG138" i="1"/>
  <c r="AH138" i="1" s="1"/>
  <c r="AG139" i="1"/>
  <c r="AH139" i="1" s="1"/>
  <c r="AG140" i="1"/>
  <c r="AH140" i="1" s="1"/>
  <c r="AG141" i="1"/>
  <c r="AH141" i="1" s="1"/>
  <c r="AG142" i="1"/>
  <c r="AH142" i="1" s="1"/>
  <c r="AG143" i="1"/>
  <c r="AH143" i="1" s="1"/>
  <c r="AG144" i="1"/>
  <c r="AH144" i="1" s="1"/>
  <c r="AG145" i="1"/>
  <c r="AH145" i="1" s="1"/>
  <c r="AG146" i="1"/>
  <c r="AH146" i="1" s="1"/>
  <c r="AG147" i="1"/>
  <c r="AH147" i="1" s="1"/>
  <c r="AG148" i="1"/>
  <c r="AH148" i="1" s="1"/>
  <c r="AG149" i="1"/>
  <c r="AH149" i="1" s="1"/>
  <c r="AG150" i="1"/>
  <c r="AH150" i="1" s="1"/>
  <c r="AG151" i="1"/>
  <c r="AH151" i="1" s="1"/>
  <c r="AG152" i="1"/>
  <c r="AH152" i="1" s="1"/>
  <c r="AG153" i="1"/>
  <c r="AH153" i="1" s="1"/>
  <c r="AG154" i="1"/>
  <c r="AH154" i="1" s="1"/>
  <c r="AG155" i="1"/>
  <c r="AH155" i="1" s="1"/>
  <c r="AG156" i="1"/>
  <c r="AH156" i="1" s="1"/>
  <c r="AG157" i="1"/>
  <c r="AH157" i="1" s="1"/>
  <c r="AG158" i="1"/>
  <c r="AH158" i="1" s="1"/>
  <c r="AG159" i="1"/>
  <c r="AH159" i="1" s="1"/>
  <c r="AG160" i="1"/>
  <c r="AH160" i="1" s="1"/>
  <c r="AG161" i="1"/>
  <c r="AH161" i="1" s="1"/>
  <c r="AG162" i="1"/>
  <c r="AH162" i="1" s="1"/>
  <c r="AG163" i="1"/>
  <c r="AH163" i="1" s="1"/>
  <c r="AG164" i="1"/>
  <c r="AH164" i="1" s="1"/>
  <c r="AG165" i="1"/>
  <c r="AH165" i="1" s="1"/>
  <c r="AG166" i="1"/>
  <c r="AH166" i="1" s="1"/>
  <c r="AG167" i="1"/>
  <c r="AH167" i="1" s="1"/>
  <c r="AG168" i="1"/>
  <c r="AH168" i="1" s="1"/>
  <c r="AG169" i="1"/>
  <c r="AH169" i="1" s="1"/>
  <c r="AG170" i="1"/>
  <c r="AH170" i="1" s="1"/>
  <c r="AG171" i="1"/>
  <c r="AH171" i="1" s="1"/>
  <c r="AG172" i="1"/>
  <c r="AH172" i="1" s="1"/>
  <c r="AG173" i="1"/>
  <c r="AH173" i="1" s="1"/>
  <c r="AG174" i="1"/>
  <c r="AH174" i="1" s="1"/>
  <c r="AG175" i="1"/>
  <c r="AH175" i="1" s="1"/>
  <c r="AG176" i="1"/>
  <c r="AH176" i="1" s="1"/>
  <c r="AG177" i="1"/>
  <c r="AH177" i="1" s="1"/>
  <c r="AG178" i="1"/>
  <c r="AH178" i="1" s="1"/>
  <c r="AG179" i="1"/>
  <c r="AH179" i="1" s="1"/>
  <c r="AG180" i="1"/>
  <c r="AH180" i="1" s="1"/>
  <c r="AG181" i="1"/>
  <c r="AH181" i="1" s="1"/>
  <c r="AG182" i="1"/>
  <c r="AH182" i="1" s="1"/>
  <c r="AG183" i="1"/>
  <c r="AH183" i="1" s="1"/>
  <c r="AG184" i="1"/>
  <c r="AH184" i="1" s="1"/>
  <c r="AG185" i="1"/>
  <c r="AH185" i="1" s="1"/>
  <c r="AG186" i="1"/>
  <c r="AH186" i="1" s="1"/>
  <c r="AG187" i="1"/>
  <c r="AH187" i="1" s="1"/>
  <c r="AG188" i="1"/>
  <c r="AH188" i="1" s="1"/>
  <c r="AG189" i="1"/>
  <c r="AH189" i="1" s="1"/>
  <c r="AG190" i="1"/>
  <c r="AH190" i="1" s="1"/>
  <c r="AG191" i="1"/>
  <c r="AH191" i="1" s="1"/>
  <c r="AG192" i="1"/>
  <c r="AH192" i="1" s="1"/>
  <c r="AG193" i="1"/>
  <c r="AH193" i="1" s="1"/>
  <c r="AG194" i="1"/>
  <c r="AH194" i="1" s="1"/>
  <c r="AG195" i="1"/>
  <c r="AH195" i="1" s="1"/>
  <c r="AG196" i="1"/>
  <c r="AH196" i="1" s="1"/>
  <c r="AG197" i="1"/>
  <c r="AH197" i="1" s="1"/>
  <c r="AG198" i="1"/>
  <c r="AH198" i="1" s="1"/>
  <c r="AG199" i="1"/>
  <c r="AH199" i="1" s="1"/>
  <c r="AG200" i="1"/>
  <c r="AH200" i="1" s="1"/>
  <c r="AG201" i="1"/>
  <c r="AH201" i="1" s="1"/>
  <c r="AG202" i="1"/>
  <c r="AH202" i="1" s="1"/>
  <c r="AG203" i="1"/>
  <c r="AH203" i="1" s="1"/>
  <c r="AG204" i="1"/>
  <c r="AH204" i="1" s="1"/>
  <c r="AG205" i="1"/>
  <c r="AH205" i="1" s="1"/>
  <c r="AG206" i="1"/>
  <c r="AH206" i="1" s="1"/>
  <c r="AG207" i="1"/>
  <c r="AH207" i="1" s="1"/>
  <c r="AG208" i="1"/>
  <c r="AH208" i="1" s="1"/>
  <c r="AG209" i="1"/>
  <c r="AH209" i="1" s="1"/>
  <c r="AG210" i="1"/>
  <c r="AH210" i="1" s="1"/>
  <c r="AG211" i="1"/>
  <c r="AH211" i="1" s="1"/>
  <c r="AG212" i="1"/>
  <c r="AH212" i="1" s="1"/>
  <c r="AG213" i="1"/>
  <c r="AH213" i="1" s="1"/>
  <c r="AG214" i="1"/>
  <c r="AH214" i="1" s="1"/>
  <c r="AG215" i="1"/>
  <c r="AH215" i="1" s="1"/>
  <c r="AG216" i="1"/>
  <c r="AH216" i="1" s="1"/>
  <c r="AG217" i="1"/>
  <c r="AH217" i="1" s="1"/>
  <c r="AG218" i="1"/>
  <c r="AH218" i="1" s="1"/>
  <c r="AG219" i="1"/>
  <c r="AH219" i="1" s="1"/>
  <c r="AG220" i="1"/>
  <c r="AH220" i="1" s="1"/>
  <c r="AG221" i="1"/>
  <c r="AH221" i="1" s="1"/>
  <c r="AG222" i="1"/>
  <c r="AH222" i="1" s="1"/>
  <c r="AG223" i="1"/>
  <c r="AH223" i="1" s="1"/>
  <c r="AG224" i="1"/>
  <c r="AH224" i="1" s="1"/>
  <c r="AG225" i="1"/>
  <c r="AH225" i="1" s="1"/>
  <c r="AG226" i="1"/>
  <c r="AH226" i="1" s="1"/>
  <c r="AG227" i="1"/>
  <c r="AH227" i="1" s="1"/>
  <c r="AG228" i="1"/>
  <c r="AH228" i="1" s="1"/>
  <c r="AG229" i="1"/>
  <c r="AH229" i="1" s="1"/>
  <c r="AG230" i="1"/>
  <c r="AH230" i="1" s="1"/>
  <c r="AG231" i="1"/>
  <c r="AH231" i="1" s="1"/>
  <c r="AG232" i="1"/>
  <c r="AH232" i="1" s="1"/>
  <c r="AG233" i="1"/>
  <c r="AH233" i="1" s="1"/>
  <c r="AG234" i="1"/>
  <c r="AH234" i="1" s="1"/>
  <c r="AG235" i="1"/>
  <c r="AH235" i="1" s="1"/>
  <c r="AG236" i="1"/>
  <c r="AH236" i="1" s="1"/>
  <c r="AG237" i="1"/>
  <c r="AH237" i="1" s="1"/>
  <c r="AG238" i="1"/>
  <c r="AH238" i="1" s="1"/>
  <c r="AG239" i="1"/>
  <c r="AH239" i="1" s="1"/>
  <c r="AG240" i="1"/>
  <c r="AH240" i="1" s="1"/>
  <c r="AG241" i="1"/>
  <c r="AH241" i="1" s="1"/>
  <c r="AG242" i="1"/>
  <c r="AH242" i="1" s="1"/>
  <c r="AG243" i="1"/>
  <c r="AH243" i="1" s="1"/>
  <c r="AG244" i="1"/>
  <c r="AH244" i="1" s="1"/>
  <c r="AG245" i="1"/>
  <c r="AH245" i="1" s="1"/>
  <c r="AG246" i="1"/>
  <c r="AH246" i="1" s="1"/>
  <c r="AG247" i="1"/>
  <c r="AH247" i="1" s="1"/>
  <c r="AG248" i="1"/>
  <c r="AH248" i="1" s="1"/>
  <c r="AG249" i="1"/>
  <c r="AH249" i="1" s="1"/>
  <c r="AG250" i="1"/>
  <c r="AH250" i="1" s="1"/>
  <c r="AG251" i="1"/>
  <c r="AH251" i="1" s="1"/>
  <c r="AG252" i="1"/>
  <c r="AH252" i="1" s="1"/>
  <c r="AG253" i="1"/>
  <c r="AH253" i="1" s="1"/>
  <c r="AG254" i="1"/>
  <c r="AH254" i="1" s="1"/>
  <c r="AG255" i="1"/>
  <c r="AH255" i="1" s="1"/>
  <c r="AG256" i="1"/>
  <c r="AH256" i="1" s="1"/>
  <c r="AG257" i="1"/>
  <c r="AH257" i="1" s="1"/>
  <c r="AG258" i="1"/>
  <c r="AH258" i="1" s="1"/>
  <c r="AG259" i="1"/>
  <c r="AH259" i="1" s="1"/>
  <c r="AG260" i="1"/>
  <c r="AH260" i="1" s="1"/>
  <c r="AG261" i="1"/>
  <c r="AH261" i="1" s="1"/>
  <c r="AG262" i="1"/>
  <c r="AH262" i="1" s="1"/>
  <c r="AG263" i="1"/>
  <c r="AH263" i="1" s="1"/>
  <c r="AG264" i="1"/>
  <c r="AH264" i="1" s="1"/>
  <c r="AG265" i="1"/>
  <c r="AH265" i="1" s="1"/>
  <c r="AG266" i="1"/>
  <c r="AH266" i="1" s="1"/>
  <c r="AG267" i="1"/>
  <c r="AH267" i="1" s="1"/>
  <c r="AG268" i="1"/>
  <c r="AH268" i="1" s="1"/>
  <c r="AG269" i="1"/>
  <c r="AH269" i="1" s="1"/>
  <c r="AG270" i="1"/>
  <c r="AH270" i="1" s="1"/>
  <c r="AG271" i="1"/>
  <c r="AH271" i="1" s="1"/>
  <c r="AG272" i="1"/>
  <c r="AH272" i="1" s="1"/>
  <c r="AG273" i="1"/>
  <c r="AH273" i="1" s="1"/>
  <c r="AG274" i="1"/>
  <c r="AH274" i="1" s="1"/>
  <c r="AG275" i="1"/>
  <c r="AH275" i="1" s="1"/>
  <c r="AG276" i="1"/>
  <c r="AH276" i="1" s="1"/>
  <c r="AG277" i="1"/>
  <c r="AH277" i="1" s="1"/>
  <c r="AG278" i="1"/>
  <c r="AH278" i="1" s="1"/>
  <c r="AG279" i="1"/>
  <c r="AH279" i="1" s="1"/>
  <c r="AG280" i="1"/>
  <c r="AH280" i="1" s="1"/>
  <c r="AG281" i="1"/>
  <c r="AH281" i="1" s="1"/>
  <c r="AG282" i="1"/>
  <c r="AH282" i="1" s="1"/>
  <c r="AG283" i="1"/>
  <c r="AH283" i="1" s="1"/>
  <c r="AG284" i="1"/>
  <c r="AH284" i="1" s="1"/>
  <c r="AG285" i="1"/>
  <c r="AH285" i="1" s="1"/>
  <c r="AG286" i="1"/>
  <c r="AH286" i="1" s="1"/>
  <c r="AG287" i="1"/>
  <c r="AH287" i="1" s="1"/>
  <c r="AG288" i="1"/>
  <c r="AH288" i="1" s="1"/>
  <c r="AG289" i="1"/>
  <c r="AH289" i="1" s="1"/>
  <c r="AG290" i="1"/>
  <c r="AH290" i="1" s="1"/>
  <c r="AG291" i="1"/>
  <c r="AH291" i="1" s="1"/>
  <c r="AG292" i="1"/>
  <c r="AH292" i="1" s="1"/>
  <c r="AG293" i="1"/>
  <c r="AH293" i="1" s="1"/>
  <c r="AG294" i="1"/>
  <c r="AH294" i="1" s="1"/>
  <c r="AG295" i="1"/>
  <c r="AH295" i="1" s="1"/>
  <c r="AG296" i="1"/>
  <c r="AH296" i="1" s="1"/>
  <c r="AG297" i="1"/>
  <c r="AH297" i="1" s="1"/>
  <c r="AG298" i="1"/>
  <c r="AH298" i="1" s="1"/>
  <c r="AG299" i="1"/>
  <c r="AH299" i="1" s="1"/>
  <c r="AG300" i="1"/>
  <c r="AH300" i="1" s="1"/>
  <c r="AG301" i="1"/>
  <c r="AH301" i="1" s="1"/>
  <c r="AG302" i="1"/>
  <c r="AH302" i="1" s="1"/>
  <c r="AG303" i="1"/>
  <c r="AH303" i="1" s="1"/>
  <c r="AG304" i="1"/>
  <c r="AH304" i="1" s="1"/>
  <c r="AG305" i="1"/>
  <c r="AH305" i="1" s="1"/>
  <c r="AG306" i="1"/>
  <c r="AH306" i="1" s="1"/>
  <c r="AG307" i="1"/>
  <c r="AH307" i="1" s="1"/>
  <c r="AG308" i="1"/>
  <c r="AH308" i="1" s="1"/>
  <c r="AG309" i="1"/>
  <c r="AH309" i="1" s="1"/>
  <c r="AG310" i="1"/>
  <c r="AH310" i="1" s="1"/>
  <c r="AG311" i="1"/>
  <c r="AH311" i="1" s="1"/>
  <c r="AG312" i="1"/>
  <c r="AH312" i="1" s="1"/>
  <c r="AH313" i="1"/>
  <c r="AG314" i="1"/>
  <c r="AH314" i="1" s="1"/>
  <c r="AG315" i="1"/>
  <c r="AH315" i="1" s="1"/>
  <c r="AG316" i="1"/>
  <c r="AH316" i="1" s="1"/>
  <c r="AG317" i="1"/>
  <c r="AH317" i="1" s="1"/>
  <c r="AG318" i="1"/>
  <c r="AH318" i="1" s="1"/>
  <c r="AG319" i="1"/>
  <c r="AH319" i="1" s="1"/>
  <c r="AG320" i="1"/>
  <c r="AH320" i="1" s="1"/>
  <c r="AG321" i="1"/>
  <c r="AH321" i="1" s="1"/>
  <c r="AG322" i="1"/>
  <c r="AH322" i="1" s="1"/>
  <c r="AG323" i="1"/>
  <c r="AH323" i="1" s="1"/>
  <c r="AG324" i="1"/>
  <c r="AH324" i="1" s="1"/>
  <c r="AG325" i="1"/>
  <c r="AH325" i="1" s="1"/>
  <c r="AG326" i="1"/>
  <c r="AH326" i="1" s="1"/>
  <c r="AG327" i="1"/>
  <c r="AH327" i="1" s="1"/>
  <c r="AG328" i="1"/>
  <c r="AH328" i="1" s="1"/>
  <c r="AG329" i="1"/>
  <c r="AH329" i="1" s="1"/>
  <c r="AG330" i="1"/>
  <c r="AH330" i="1" s="1"/>
  <c r="AG331" i="1"/>
  <c r="AH331" i="1" s="1"/>
  <c r="AG332" i="1"/>
  <c r="AH332" i="1" s="1"/>
  <c r="AG333" i="1"/>
  <c r="AH333" i="1" s="1"/>
  <c r="AG334" i="1"/>
  <c r="AH334" i="1" s="1"/>
  <c r="AG335" i="1"/>
  <c r="AH335" i="1" s="1"/>
  <c r="AG336" i="1"/>
  <c r="AH336" i="1" s="1"/>
  <c r="AG337" i="1"/>
  <c r="AH337" i="1" s="1"/>
  <c r="AG338" i="1"/>
  <c r="AH338" i="1" s="1"/>
  <c r="AG339" i="1"/>
  <c r="AH339" i="1" s="1"/>
  <c r="AG340" i="1"/>
  <c r="AH340" i="1" s="1"/>
  <c r="AG341" i="1"/>
  <c r="AH341" i="1" s="1"/>
  <c r="AG342" i="1"/>
  <c r="AH342" i="1" s="1"/>
  <c r="AG343" i="1"/>
  <c r="AH343" i="1" s="1"/>
  <c r="AG344" i="1"/>
  <c r="AH344" i="1" s="1"/>
  <c r="AG345" i="1"/>
  <c r="AH345" i="1" s="1"/>
  <c r="AG346" i="1"/>
  <c r="AH346" i="1" s="1"/>
  <c r="AG347" i="1"/>
  <c r="AH347" i="1" s="1"/>
  <c r="AG348" i="1"/>
  <c r="AH348" i="1" s="1"/>
  <c r="AG349" i="1"/>
  <c r="AH349" i="1" s="1"/>
  <c r="AG350" i="1"/>
  <c r="AH350" i="1" s="1"/>
  <c r="AG351" i="1"/>
  <c r="AH351" i="1" s="1"/>
  <c r="AG352" i="1"/>
  <c r="AH352" i="1" s="1"/>
  <c r="AG353" i="1"/>
  <c r="AH353" i="1" s="1"/>
  <c r="AG354" i="1"/>
  <c r="AH354" i="1" s="1"/>
  <c r="AG355" i="1"/>
  <c r="AH355" i="1" s="1"/>
  <c r="AG356" i="1"/>
  <c r="AH356" i="1" s="1"/>
  <c r="AG357" i="1"/>
  <c r="AH357" i="1" s="1"/>
  <c r="AG358" i="1"/>
  <c r="AH358" i="1" s="1"/>
  <c r="AG359" i="1"/>
  <c r="AH359" i="1" s="1"/>
  <c r="AG360" i="1"/>
  <c r="AH360" i="1" s="1"/>
  <c r="AG361" i="1"/>
  <c r="AH361" i="1" s="1"/>
  <c r="AG362" i="1"/>
  <c r="AH362" i="1" s="1"/>
  <c r="AG363" i="1"/>
  <c r="AH363" i="1" s="1"/>
  <c r="AG364" i="1"/>
  <c r="AH364" i="1" s="1"/>
  <c r="AG365" i="1"/>
  <c r="AH365" i="1" s="1"/>
  <c r="AG366" i="1"/>
  <c r="AH366" i="1" s="1"/>
  <c r="AG367" i="1"/>
  <c r="AH367" i="1" s="1"/>
  <c r="AG368" i="1"/>
  <c r="AH368" i="1" s="1"/>
  <c r="AG369" i="1"/>
  <c r="AH369" i="1" s="1"/>
  <c r="AG370" i="1"/>
  <c r="AH370" i="1" s="1"/>
  <c r="AG371" i="1"/>
  <c r="AH371" i="1" s="1"/>
  <c r="AG372" i="1"/>
  <c r="AH372" i="1" s="1"/>
  <c r="AG373" i="1"/>
  <c r="AH373" i="1" s="1"/>
  <c r="AG374" i="1"/>
  <c r="AH374" i="1" s="1"/>
  <c r="AG375" i="1"/>
  <c r="AH375" i="1" s="1"/>
  <c r="AG376" i="1"/>
  <c r="AH376" i="1" s="1"/>
  <c r="AG377" i="1"/>
  <c r="AH377" i="1" s="1"/>
  <c r="AG378" i="1"/>
  <c r="AH378" i="1" s="1"/>
  <c r="AG379" i="1"/>
  <c r="AH379" i="1" s="1"/>
  <c r="AG380" i="1"/>
  <c r="AH380" i="1" s="1"/>
  <c r="AG381" i="1"/>
  <c r="AH381" i="1" s="1"/>
  <c r="AG382" i="1"/>
  <c r="AH382" i="1" s="1"/>
  <c r="AG383" i="1"/>
  <c r="AH383" i="1" s="1"/>
  <c r="AG384" i="1"/>
  <c r="AH384" i="1" s="1"/>
  <c r="AG385" i="1"/>
  <c r="AH385" i="1" s="1"/>
  <c r="AG386" i="1"/>
  <c r="AH386" i="1" s="1"/>
  <c r="AG387" i="1"/>
  <c r="AH387" i="1" s="1"/>
  <c r="AG388" i="1"/>
  <c r="AH388" i="1" s="1"/>
  <c r="AG389" i="1"/>
  <c r="AH389" i="1" s="1"/>
  <c r="AG390" i="1"/>
  <c r="AH390" i="1" s="1"/>
  <c r="AG391" i="1"/>
  <c r="AH391" i="1" s="1"/>
  <c r="AG392" i="1"/>
  <c r="AH392" i="1" s="1"/>
  <c r="AG393" i="1"/>
  <c r="AH393" i="1" s="1"/>
  <c r="AG394" i="1"/>
  <c r="AH394" i="1" s="1"/>
  <c r="AG395" i="1"/>
  <c r="AH395" i="1" s="1"/>
  <c r="AG396" i="1"/>
  <c r="AH396" i="1" s="1"/>
  <c r="AG397" i="1"/>
  <c r="AH397" i="1" s="1"/>
  <c r="AG398" i="1"/>
  <c r="AH398" i="1" s="1"/>
  <c r="AG399" i="1"/>
  <c r="AH399" i="1" s="1"/>
  <c r="AG400" i="1"/>
  <c r="AH400" i="1" s="1"/>
  <c r="AG401" i="1"/>
  <c r="AH401" i="1" s="1"/>
  <c r="AG403" i="1"/>
  <c r="AH403" i="1" s="1"/>
  <c r="AG404" i="1"/>
  <c r="AH404" i="1" s="1"/>
  <c r="AG405" i="1"/>
  <c r="AH405" i="1" s="1"/>
  <c r="AG406" i="1"/>
  <c r="AH406" i="1" s="1"/>
  <c r="AG407" i="1"/>
  <c r="AH407" i="1" s="1"/>
  <c r="AG408" i="1"/>
  <c r="AH408" i="1" s="1"/>
  <c r="AG409" i="1"/>
  <c r="AH409" i="1" s="1"/>
  <c r="AG410" i="1"/>
  <c r="AH410" i="1" s="1"/>
  <c r="AG411" i="1"/>
  <c r="AH411" i="1" s="1"/>
  <c r="AG412" i="1"/>
  <c r="AH412" i="1" s="1"/>
  <c r="AG413" i="1"/>
  <c r="AH413" i="1" s="1"/>
  <c r="AG414" i="1"/>
  <c r="AH414" i="1" s="1"/>
  <c r="AG415" i="1"/>
  <c r="AH415" i="1" s="1"/>
  <c r="AG416" i="1"/>
  <c r="AH416" i="1" s="1"/>
  <c r="AG417" i="1"/>
  <c r="AH417" i="1" s="1"/>
  <c r="AG418" i="1"/>
  <c r="AH418" i="1" s="1"/>
  <c r="AG419" i="1"/>
  <c r="AH419" i="1" s="1"/>
  <c r="AG420" i="1"/>
  <c r="AH420" i="1" s="1"/>
  <c r="AG421" i="1"/>
  <c r="AH421" i="1" s="1"/>
  <c r="AG422" i="1"/>
  <c r="AH422" i="1" s="1"/>
  <c r="AG423" i="1"/>
  <c r="AH423" i="1" s="1"/>
  <c r="AG425" i="1"/>
  <c r="AH425" i="1" s="1"/>
  <c r="AG426" i="1"/>
  <c r="AH426" i="1" s="1"/>
  <c r="AG427" i="1"/>
  <c r="AH427" i="1" s="1"/>
  <c r="AG428" i="1"/>
  <c r="AH428" i="1" s="1"/>
  <c r="AG429" i="1"/>
  <c r="AH429" i="1" s="1"/>
  <c r="AG430" i="1"/>
  <c r="AH430" i="1" s="1"/>
  <c r="AG431" i="1"/>
  <c r="AH431" i="1" s="1"/>
  <c r="AG432" i="1"/>
  <c r="AH432" i="1" s="1"/>
  <c r="AG433" i="1"/>
  <c r="AH433" i="1" s="1"/>
  <c r="AG434" i="1"/>
  <c r="AH434" i="1" s="1"/>
  <c r="AG435" i="1"/>
  <c r="AH435" i="1" s="1"/>
  <c r="AG436" i="1"/>
  <c r="AH436" i="1" s="1"/>
  <c r="AG3" i="1"/>
  <c r="A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<sst xmlns="http://schemas.openxmlformats.org/spreadsheetml/2006/main" count="2686" uniqueCount="1568">
  <si>
    <t>NO</t>
  </si>
  <si>
    <t>Item</t>
  </si>
  <si>
    <t>Description</t>
  </si>
  <si>
    <t>Qty</t>
  </si>
  <si>
    <t>Blance</t>
  </si>
  <si>
    <t>Chavakkachchery</t>
  </si>
  <si>
    <t>Kilinochchi</t>
  </si>
  <si>
    <t>Kalmunai</t>
  </si>
  <si>
    <t>Puthukkudiruppu</t>
  </si>
  <si>
    <t>Mulankavil</t>
  </si>
  <si>
    <t>Mulliyavalai</t>
  </si>
  <si>
    <t>Kondavil</t>
  </si>
  <si>
    <t>Savalkaddu</t>
  </si>
  <si>
    <t>Poonakary</t>
  </si>
  <si>
    <t>Vavuniya</t>
  </si>
  <si>
    <t>Akkaraippattu</t>
  </si>
  <si>
    <t>Oddisuddan</t>
  </si>
  <si>
    <t>Mukkomban-office</t>
  </si>
  <si>
    <t>Home</t>
  </si>
  <si>
    <t>Sale</t>
  </si>
  <si>
    <t>DDR195-BLL</t>
  </si>
  <si>
    <t>Innovex Direct Cool Ref 180Lts With Look (Blue L)</t>
  </si>
  <si>
    <t>DDR195-MAR</t>
  </si>
  <si>
    <t>Innovex Direct Cool Ref 180Lts With Look (Maroon)</t>
  </si>
  <si>
    <t>WMIFA70S-DG</t>
  </si>
  <si>
    <t>Innovex Fully W/M Wash 7KG (Dark Grey)</t>
  </si>
  <si>
    <t>ISF008</t>
  </si>
  <si>
    <t>INNOVEX - STAND FAN 16'' 4Speed, 04Wind Ty</t>
  </si>
  <si>
    <t>IDR180S-BLL</t>
  </si>
  <si>
    <t>Innovex Single Door Direct cool Refrigerator (Blue)</t>
  </si>
  <si>
    <t>ICF010</t>
  </si>
  <si>
    <t>INNOVEX - Celling Fan 56''</t>
  </si>
  <si>
    <t>ISF165R</t>
  </si>
  <si>
    <t>INNOVEX - STAND FAN 16'' Remote (03Wind Ty)</t>
  </si>
  <si>
    <t>IWF003R</t>
  </si>
  <si>
    <t xml:space="preserve">INNOVEX - WALL FAN 16'' Remote </t>
  </si>
  <si>
    <t>ITF006</t>
  </si>
  <si>
    <t>INNOVEX - TABLE FAN 16'', 3Speed, 50W</t>
  </si>
  <si>
    <t>IIC010</t>
  </si>
  <si>
    <t>Innovex Induction Cooker, 2000W</t>
  </si>
  <si>
    <t>ISI008</t>
  </si>
  <si>
    <t>Innovex Steam and Spary Iron 2200W</t>
  </si>
  <si>
    <t>IHM004B</t>
  </si>
  <si>
    <t xml:space="preserve">Innovex Hand Mixer with Bowl </t>
  </si>
  <si>
    <t>IBL004</t>
  </si>
  <si>
    <t>Innovex Commercial Blender</t>
  </si>
  <si>
    <t>IBL005</t>
  </si>
  <si>
    <t>Innovex Blender With Drill Mill- Domestic, 550W</t>
  </si>
  <si>
    <t>IMG010</t>
  </si>
  <si>
    <t>Innovex Mixer Grinder - 3Jar, 550W, 20000Rpm</t>
  </si>
  <si>
    <t>IMG013</t>
  </si>
  <si>
    <t>Innovex Mixer Grinder - 3Jar, 550W, 300ml, 1000ml</t>
  </si>
  <si>
    <t>IAS010D</t>
  </si>
  <si>
    <t>INNOVEX HI Power Audio System</t>
  </si>
  <si>
    <t>IEOV05-32</t>
  </si>
  <si>
    <t>Innovex Electic Oven - 32Ltr 1500W</t>
  </si>
  <si>
    <t>IEOV06-36</t>
  </si>
  <si>
    <t>Innovex Electic Oven - 36Ltr 1500W</t>
  </si>
  <si>
    <t>IEOV07-46</t>
  </si>
  <si>
    <t>Innovex Electic Oven - 46Ltr 1800W</t>
  </si>
  <si>
    <t>IPW003</t>
  </si>
  <si>
    <t>Innovex Electric Pressure Washer 1600W</t>
  </si>
  <si>
    <t>IEKP05</t>
  </si>
  <si>
    <t>Innovex Electric Kettle - 1200W Plastic Body 01L</t>
  </si>
  <si>
    <t>MG-240</t>
  </si>
  <si>
    <t>Prieethi Mixer Grinder - GALAXY PRO</t>
  </si>
  <si>
    <t>MG-218</t>
  </si>
  <si>
    <t>Prieethi Mixer Grinder - Zodiac</t>
  </si>
  <si>
    <t>MG-199</t>
  </si>
  <si>
    <t>Prieethi Mixer Grinder - ECOCHEF NEO MG 199</t>
  </si>
  <si>
    <t>MG-173</t>
  </si>
  <si>
    <t xml:space="preserve">Prieethi Mixer Grinder - Nitro </t>
  </si>
  <si>
    <t>MG-158</t>
  </si>
  <si>
    <t>Prieethi Mixer Grinder - TRIO</t>
  </si>
  <si>
    <t>MG-154</t>
  </si>
  <si>
    <t>Prieethi Mixer Grinder - ECO Twin</t>
  </si>
  <si>
    <t>MG-139</t>
  </si>
  <si>
    <t>Prieethi Mixer Grinder Bluelaf</t>
  </si>
  <si>
    <t>JCK-F5</t>
  </si>
  <si>
    <t>Jack Lockstich Sewing machine</t>
  </si>
  <si>
    <t>IVCW004</t>
  </si>
  <si>
    <t>Innovex Wet &amp;Dry Vaccum Cleaner 1200W</t>
  </si>
  <si>
    <t>IVCW002</t>
  </si>
  <si>
    <t>IVC001JI</t>
  </si>
  <si>
    <t>Innovex Vacuum Cleaner -1600W Speed Control</t>
  </si>
  <si>
    <t>UA55DU7500R</t>
  </si>
  <si>
    <t>Samsung TV 55'' (HDR) Craystal Processor 4K[Meg</t>
  </si>
  <si>
    <t>ITVE501S4K</t>
  </si>
  <si>
    <t xml:space="preserve">INNOVEX-LED TV 4K SMART-50'' </t>
  </si>
  <si>
    <t>ITVE432S4K</t>
  </si>
  <si>
    <t xml:space="preserve">INNOVEX-LED TV 4K SMART-43'' </t>
  </si>
  <si>
    <t>ITVE433</t>
  </si>
  <si>
    <t>INNOVEX-LED FHD 43''</t>
  </si>
  <si>
    <t>ITVE3207</t>
  </si>
  <si>
    <t xml:space="preserve">INNOVEX-LED HD TV -32'' </t>
  </si>
  <si>
    <t>ITOA02</t>
  </si>
  <si>
    <t>Innovex Auto Pop-Up Toaster (02Slice)</t>
  </si>
  <si>
    <t>ISM08</t>
  </si>
  <si>
    <t>Innovex Sandwich Maker - Non Stick</t>
  </si>
  <si>
    <t>ISM009</t>
  </si>
  <si>
    <t>Innovex Sandwich Maker, 750W</t>
  </si>
  <si>
    <t>IRC1811</t>
  </si>
  <si>
    <t>Innovex Rice Cookers-1.8 Ltr</t>
  </si>
  <si>
    <t>IRC1810</t>
  </si>
  <si>
    <t>IRC286</t>
  </si>
  <si>
    <t>Innovex Rice Cookers-2.8 Ltr</t>
  </si>
  <si>
    <t>IRC422</t>
  </si>
  <si>
    <t>Innovex Rice Cookers-4.2 Ltr</t>
  </si>
  <si>
    <t>IRC226</t>
  </si>
  <si>
    <t>Innovex Rice Cookers-2.2Ltr</t>
  </si>
  <si>
    <t>IRC186</t>
  </si>
  <si>
    <t>IRC156</t>
  </si>
  <si>
    <t>IBRC01</t>
  </si>
  <si>
    <t>Innovex Vchelor Rice Cookers-1.0Ltr</t>
  </si>
  <si>
    <t>WA80F13S5C</t>
  </si>
  <si>
    <t>Samsung Wash Machine (Top Loading)13kg Full</t>
  </si>
  <si>
    <t>WW12DG5B24A</t>
  </si>
  <si>
    <t>Samsung Wash Machine (Frond Loading)12kg S</t>
  </si>
  <si>
    <t>UA32H5000FR</t>
  </si>
  <si>
    <t>Samsung Smart 32'' (HD)Web Browser/Blootooth</t>
  </si>
  <si>
    <t>UA32M4010AR</t>
  </si>
  <si>
    <t>Samsung 32'' (HD)Wide Colour Enhancer/Family</t>
  </si>
  <si>
    <t>UA43F6000FR</t>
  </si>
  <si>
    <t>Samsung TV43'' (FHD) Smart  TV(Mirroring) Purco</t>
  </si>
  <si>
    <t>TH- 32M401N</t>
  </si>
  <si>
    <t xml:space="preserve">Panasonic LED TV 32'', HDMI, USB </t>
  </si>
  <si>
    <t>CS/CU-EU24AK</t>
  </si>
  <si>
    <t>N/I-Airconditioner 24000BTU invert split-R32 Gas</t>
  </si>
  <si>
    <t>ISFIN01</t>
  </si>
  <si>
    <t>INNOVEX - INDUSTRIAL FAN 26'' Three Speed</t>
  </si>
  <si>
    <t>UA32N4010AR</t>
  </si>
  <si>
    <t xml:space="preserve">Samsung 32'' (HD) Wide Colour Enhancer Family </t>
  </si>
  <si>
    <t>ISF012</t>
  </si>
  <si>
    <t>INNOVEX - Hevavy Duty STAND FAN 18''</t>
  </si>
  <si>
    <t>SC-UX100</t>
  </si>
  <si>
    <t>Panasonic Stereo System (Mini Hi-Fi)</t>
  </si>
  <si>
    <t>MX-GE3750</t>
  </si>
  <si>
    <t>Panasonic Mixer Grinder 3 Jar, 750W</t>
  </si>
  <si>
    <t>MX-GC3550</t>
  </si>
  <si>
    <t>Panasonic Mixer Grinder 3 Jar, 550W</t>
  </si>
  <si>
    <t>MX-EX1511W</t>
  </si>
  <si>
    <t xml:space="preserve">Panasonic Blender </t>
  </si>
  <si>
    <t>MX-EX1011</t>
  </si>
  <si>
    <t>MX-AV425YUD</t>
  </si>
  <si>
    <t>Panasonic Mixer Grinder Quarts Yellow, 600W</t>
  </si>
  <si>
    <t>MX-AV425DUD</t>
  </si>
  <si>
    <t>Panasonic Mixer Sunstone Orange Yellow, 600W</t>
  </si>
  <si>
    <t>MX-AV325</t>
  </si>
  <si>
    <t>Panasonic Mixer Grinder Marble Gold, 600W</t>
  </si>
  <si>
    <t>MX-AC400</t>
  </si>
  <si>
    <t>Panasonic Mixer Grinder 4 Jar</t>
  </si>
  <si>
    <t>MX-AC380</t>
  </si>
  <si>
    <t>Panasonic Mixer Grinder 3 Jar</t>
  </si>
  <si>
    <t>MX-AC300</t>
  </si>
  <si>
    <t>MKA-GB3</t>
  </si>
  <si>
    <t>Panasonic Stand Mixer</t>
  </si>
  <si>
    <t>NN-GT342M</t>
  </si>
  <si>
    <t>Panasonic Grill Microwave Oven 23L</t>
  </si>
  <si>
    <t>NN-SM255B</t>
  </si>
  <si>
    <t>Panasonic Microwave Oven 20L-Black Colour</t>
  </si>
  <si>
    <t>NR-BG312DALK</t>
  </si>
  <si>
    <t>Panasonic 307Ltr, Deep Ocean Blue Inverter</t>
  </si>
  <si>
    <t>DH-3BSIWW</t>
  </si>
  <si>
    <t>Panasonic Electric Home Shower</t>
  </si>
  <si>
    <t>DH-3BP1WW</t>
  </si>
  <si>
    <t>SR-Y22GS RE</t>
  </si>
  <si>
    <t>Panasonic Rice Cooker 2.2Ltr - Red</t>
  </si>
  <si>
    <t>SR-Y18LY</t>
  </si>
  <si>
    <t>Panasonic Rice Cooker 1.8Ltr</t>
  </si>
  <si>
    <t>SR- Y18FGE RE</t>
  </si>
  <si>
    <t>Panasonic Rice Cooker 1.8Ltr - Red</t>
  </si>
  <si>
    <t>SR-G28 W</t>
  </si>
  <si>
    <t>Panasonic Rice Cooker 2.8Ltr - White Colour</t>
  </si>
  <si>
    <t>SR-G06 BL</t>
  </si>
  <si>
    <t>Panasonic Bachelor Cooker - 0.30Kg - Blue</t>
  </si>
  <si>
    <t>SR-3NA BL</t>
  </si>
  <si>
    <t>Panasonic Baby Cooker - 0.16Kg - Blue</t>
  </si>
  <si>
    <t>MC-CL603</t>
  </si>
  <si>
    <t>Panasonic Vacuum Cleaner</t>
  </si>
  <si>
    <t>MC-CG370</t>
  </si>
  <si>
    <t>MC-CG371</t>
  </si>
  <si>
    <t>TH-32MS670N</t>
  </si>
  <si>
    <t>Panasonic Google TV 32'', Netflix, Youtube, DB So</t>
  </si>
  <si>
    <t>TH-32M401N</t>
  </si>
  <si>
    <t>DDN240-BLL</t>
  </si>
  <si>
    <t>Innovex No Frost Ref 250Lts With Look (Blue Lily</t>
  </si>
  <si>
    <t>WMDSAN65P-M</t>
  </si>
  <si>
    <t>Innovex semi WM- Wash 6.5Kg (Maroon)</t>
  </si>
  <si>
    <t>MS23K3513AK/</t>
  </si>
  <si>
    <t>Samsung Microwave Oven [32Ltr[Solo[Auto Cook[</t>
  </si>
  <si>
    <t>WA80F15S5B</t>
  </si>
  <si>
    <t>Samsung Wash Machine [Top Loading[15Kg[Full</t>
  </si>
  <si>
    <t>Samsung Wash Machine [Front Loading[13Kg[S</t>
  </si>
  <si>
    <t>ICFR320</t>
  </si>
  <si>
    <t>Innovex Chest Freezer 320Ltr</t>
  </si>
  <si>
    <t>WMDFAN60P-O</t>
  </si>
  <si>
    <t>Innovex Fully W/M Wash 6KG (Off white)</t>
  </si>
  <si>
    <t>WMDSAN65P-O</t>
  </si>
  <si>
    <t>Innovex Semy W/M Wash 6.5KG (Off white)</t>
  </si>
  <si>
    <t>INR2401-BLG</t>
  </si>
  <si>
    <t>Innovex No Frost Refrigerator 250Lts Inverter (Bla)</t>
  </si>
  <si>
    <t>Innovex No Frost Ref  250Lts With Lock (Blue Ly)</t>
  </si>
  <si>
    <t>RT28A3021GS/I</t>
  </si>
  <si>
    <t>Samsung Refrigerator (No Forost Inverter) 253Ltr</t>
  </si>
  <si>
    <t xml:space="preserve">IMW251 </t>
  </si>
  <si>
    <t>Innovex Microwave Oven 25LTR/1000W</t>
  </si>
  <si>
    <t>IEK008</t>
  </si>
  <si>
    <t>Innovex Electric Kettle - 1500W Stainless Steel B</t>
  </si>
  <si>
    <t>IAS009D</t>
  </si>
  <si>
    <t>IEKP10</t>
  </si>
  <si>
    <t>Innovex Electric Kettle -2200W Plastic body 01 L</t>
  </si>
  <si>
    <t>IEKDL02</t>
  </si>
  <si>
    <t>Innovex electric kettle-1500w double plastic b</t>
  </si>
  <si>
    <t>IAS014</t>
  </si>
  <si>
    <t>Innovex protable party speaker, PMPQ 14 00</t>
  </si>
  <si>
    <t>IAS013</t>
  </si>
  <si>
    <t xml:space="preserve">Innovex party speaker </t>
  </si>
  <si>
    <t>IAS012</t>
  </si>
  <si>
    <t>IDI002</t>
  </si>
  <si>
    <t>Innovex dry lron 1200w</t>
  </si>
  <si>
    <t>SC-AKX910GSK</t>
  </si>
  <si>
    <t>panasonic HI-fI system (24200 W PMPO)</t>
  </si>
  <si>
    <t>ID1006</t>
  </si>
  <si>
    <t>Innovex Heavy weight Dry Iron 1200W</t>
  </si>
  <si>
    <t>PSCR012-697-1</t>
  </si>
  <si>
    <t>Sofa-Cristina-Full Set (1+2+3)-697 10TT</t>
  </si>
  <si>
    <t>PGNQ272</t>
  </si>
  <si>
    <t>Mattress - Piyestra -72''*72''*06'' - New Grand -D/L</t>
  </si>
  <si>
    <t>PGNQ260</t>
  </si>
  <si>
    <t>Mattress - Piyestra -72''*60''*06'' - New Grand -D/L</t>
  </si>
  <si>
    <t>PGNQ548</t>
  </si>
  <si>
    <t>Mattress - Piyestra -75''*48''*06'' - New Grand -D/L</t>
  </si>
  <si>
    <t>PGNQ248</t>
  </si>
  <si>
    <t>Mattress - Piyestra -72''*48''*06'' - New Grand -D/L</t>
  </si>
  <si>
    <t>PHQ236</t>
  </si>
  <si>
    <t>Mattress - Piyestra -72''*36''*05'' - Hybrid - Q/C</t>
  </si>
  <si>
    <t>PHQ536</t>
  </si>
  <si>
    <t>Mattress - Piyestra -75''*36''*05'' - Hybrid - Q/C</t>
  </si>
  <si>
    <t>PHQ248</t>
  </si>
  <si>
    <t>Mattress - Piyestra -72''*48''*05'' - Hybrid - Q/C</t>
  </si>
  <si>
    <t>PKOC024-M31</t>
  </si>
  <si>
    <t>KD-Piyestra- Cupboard (80cm*40cm*184cm)</t>
  </si>
  <si>
    <t>PKSD001-M31</t>
  </si>
  <si>
    <t>KD-Piyestra- Study Desk (120cm*52cm*116.cm)</t>
  </si>
  <si>
    <t>PKSD012-M31</t>
  </si>
  <si>
    <t>KD-Piyestra- Study Desk (80cm*47.5cm*116.5cm)</t>
  </si>
  <si>
    <t>PKSS(G)002-M2</t>
  </si>
  <si>
    <t>KD-Piyestra- Coffee Table with Tempered Glass</t>
  </si>
  <si>
    <t>PKSS010-M31</t>
  </si>
  <si>
    <t>KD-Piyestra- Coffee Table (120cm*60cm*42cm)</t>
  </si>
  <si>
    <t>PKSS015-M22</t>
  </si>
  <si>
    <t>KD-Piyestra- Coffee Table (100cm*55cm*42.5cm)</t>
  </si>
  <si>
    <t>PKWB001-M22</t>
  </si>
  <si>
    <t>KD-Piyestra- Wardrobe - 3D &amp; Inside D(121*43*1)</t>
  </si>
  <si>
    <t>PKWB024-M22</t>
  </si>
  <si>
    <t>KD-Piyestra- Wardrobe - Neo 2D (80*42.5)</t>
  </si>
  <si>
    <t>PKWB025-M22</t>
  </si>
  <si>
    <t>KD-Piyestra- Wardrobe - 2D Large (121cm*42cm)</t>
  </si>
  <si>
    <t>PKWB026-M22</t>
  </si>
  <si>
    <t>KD-Piyestra- Wardrobe - 2D Large (80cm*41.5cm)</t>
  </si>
  <si>
    <t>PKWC003-M31</t>
  </si>
  <si>
    <t>KD-Piyestra- Wardrobe - Camilia 3D (122*51*201)</t>
  </si>
  <si>
    <t>PKWC002-M31</t>
  </si>
  <si>
    <t>KD-Piyestra- Wardrobe - Camilia 2D (91*60.5*193)</t>
  </si>
  <si>
    <t>PKWFC004-M58</t>
  </si>
  <si>
    <t>KD-Piyestra- Wardrobe - Pelcity 4D (180*61.5*1)</t>
  </si>
  <si>
    <t>PKWT001-M31</t>
  </si>
  <si>
    <t>KD-Piyestra- Writing Table (120cm*60cm*76.5cm)</t>
  </si>
  <si>
    <t>PKWT010-M31</t>
  </si>
  <si>
    <t>KD-Piyestra- Writing Table (168cm*80.5cm*7)</t>
  </si>
  <si>
    <t>PKWT029-M31</t>
  </si>
  <si>
    <t>PKWT032-M31</t>
  </si>
  <si>
    <t>KD-Piyestra- Writing Table (100cm*50cm*76.2cm)</t>
  </si>
  <si>
    <t>PKWT031-M31</t>
  </si>
  <si>
    <t>KD-Piyestra- Writing Table (80cm*48.5cm*76.2cm)</t>
  </si>
  <si>
    <t>BSSF726007-TG</t>
  </si>
  <si>
    <t>Spring Mattress - Super Flex- 72''*60''*0.7'' - TG0</t>
  </si>
  <si>
    <t>PSREG012- 697 2</t>
  </si>
  <si>
    <t>Sofa-Regency-Full set(1+2+3)-697 22-TT</t>
  </si>
  <si>
    <t>KSCR010-299 1</t>
  </si>
  <si>
    <t>Sofa- Kingstar- Crown-Full Set(1+2+3)-299 12</t>
  </si>
  <si>
    <t>PP004</t>
  </si>
  <si>
    <t>Piyestra Pillow</t>
  </si>
  <si>
    <t>KCDQ260</t>
  </si>
  <si>
    <t>Mattress - Kingstar - 72''*60''*05'' - CoolFoam DL</t>
  </si>
  <si>
    <t>KCDQ236</t>
  </si>
  <si>
    <t>Mattress - Kingstar - 72''*36''*05'' - CoolFoam DL</t>
  </si>
  <si>
    <t>KCDQ248</t>
  </si>
  <si>
    <t>Mattress - Kingstar - 72''*48''*05'' - CoolFoam DL</t>
  </si>
  <si>
    <t>PKAV037-M22/M</t>
  </si>
  <si>
    <t>KD- Piyestra- Audio Vedio Rack (180*40*61)cm</t>
  </si>
  <si>
    <t>PKBC002-M31</t>
  </si>
  <si>
    <t>KD- Piyestra- Bed Side Cupboard (40.5*40*54)</t>
  </si>
  <si>
    <t>PKBHA003-M37/</t>
  </si>
  <si>
    <t>KD- Piyestra- Bed - Hary (75''*60'') -M37/M50</t>
  </si>
  <si>
    <t>PKBFC008-M58/</t>
  </si>
  <si>
    <t>KD- Piyestra- Storage Bed - Felcity - (75''*60'')</t>
  </si>
  <si>
    <t>PKCB003-M31</t>
  </si>
  <si>
    <t>KD- Piyestra- Bed -Camilia (75''*60'')M31</t>
  </si>
  <si>
    <t>PKWTU003-M37</t>
  </si>
  <si>
    <t>KD- Piyestra- Wardrobe- Tulip 3D(135*55*195)C</t>
  </si>
  <si>
    <t>PKBR001-M31</t>
  </si>
  <si>
    <t>KD- Piyestra- Book Rack (76*32*176)cm - M31</t>
  </si>
  <si>
    <t>PKCT001-M31</t>
  </si>
  <si>
    <t>KD- Piyestra- Computer Table (120*40*77)cm</t>
  </si>
  <si>
    <t>PKCT008-M31</t>
  </si>
  <si>
    <t>KD- Piyestra- Computer Table (120*58*76.5)cm</t>
  </si>
  <si>
    <t>PKCT023-M31</t>
  </si>
  <si>
    <t>KD- Piyestra- Computer Table (60*40*77)cm</t>
  </si>
  <si>
    <t>PKCT024-M31</t>
  </si>
  <si>
    <t>PKDC001-M31</t>
  </si>
  <si>
    <t>KD- Piyestra- Dressing Table Camilia (60*48*17)</t>
  </si>
  <si>
    <t>PKDR007-M31</t>
  </si>
  <si>
    <t>KD- Piyestra- Display Rack (80cm*30.8cm*16cm)</t>
  </si>
  <si>
    <t>PKDY001-M22</t>
  </si>
  <si>
    <t>KD-Piyestra- Dressing Table Ammy(41*90.5*18)</t>
  </si>
  <si>
    <t>PKFR001-M31</t>
  </si>
  <si>
    <t>KD- Piyestra- Filling rack (80cm*36cm*183cm)</t>
  </si>
  <si>
    <t>PKFR002-M31</t>
  </si>
  <si>
    <t>KD- Piyestra- Filling rack (80cm*36cm*122cm)</t>
  </si>
  <si>
    <t>PKOC001-M31</t>
  </si>
  <si>
    <t>KD- Piyestra- Half Door Cupboard (80cm*37cm*)</t>
  </si>
  <si>
    <t>PKOC002-M31</t>
  </si>
  <si>
    <t>KD- Piyestra- Office Cupboard(80cm*37.5cm*)</t>
  </si>
  <si>
    <t>PKOC003-M31</t>
  </si>
  <si>
    <t>PKOC014-M31</t>
  </si>
  <si>
    <t>KD- Piyestra- Office Cupboard(80cm*38.2cm*1)</t>
  </si>
  <si>
    <t>PKOC015-M31</t>
  </si>
  <si>
    <t>ECH001-BK</t>
  </si>
  <si>
    <t>Ex Chair-High Back-Economy-Gas Lift-Black</t>
  </si>
  <si>
    <t>ECH005-ME</t>
  </si>
  <si>
    <t>Ex Chair-High Back-Economy-Meroon</t>
  </si>
  <si>
    <t>ECH008-BK</t>
  </si>
  <si>
    <t>Ex Chair-High Back-Flex-Black</t>
  </si>
  <si>
    <t>ECL001-BK</t>
  </si>
  <si>
    <t>Ex Chair-Low Back-Economy-Gas Lift-Black</t>
  </si>
  <si>
    <t>ECL001-BL</t>
  </si>
  <si>
    <t>Ex Chair-Low Back-Economy-Gas Lift-Blue</t>
  </si>
  <si>
    <t>ECV001-BL</t>
  </si>
  <si>
    <t>Ex Chair-Visitor-Premium-Blue</t>
  </si>
  <si>
    <t>ECV002-BK</t>
  </si>
  <si>
    <t>Ex Chair Visitor Chair-LowBack-Steel Frame -BI</t>
  </si>
  <si>
    <t>ECV002-BL</t>
  </si>
  <si>
    <t>ECV002-ME</t>
  </si>
  <si>
    <t>Ex Chair Visitor Chair-LowBack-Steel Frame -M</t>
  </si>
  <si>
    <t>ECV005-BK</t>
  </si>
  <si>
    <t>Ex Chair-Visitor-Net Fabric-Black</t>
  </si>
  <si>
    <t>ECV005-BL</t>
  </si>
  <si>
    <t>Ex Chair-Visitor-Net Fabric-Blue</t>
  </si>
  <si>
    <t>PTCF001-BL</t>
  </si>
  <si>
    <t>Ex Chair-Typist-Normal-With Arm-Economy-Gas</t>
  </si>
  <si>
    <t>PTH002-BL</t>
  </si>
  <si>
    <t>Ex Chair-Typist-High Back-With Out Arm-Econo</t>
  </si>
  <si>
    <t>PVC002-BK</t>
  </si>
  <si>
    <t>Ex-Chair-Visitor-With Out Arm-Black</t>
  </si>
  <si>
    <t>PVAC009-JW</t>
  </si>
  <si>
    <t>Plastic - Piyestra - Varandah Chair - Jackwood</t>
  </si>
  <si>
    <t>PVAC005-BK</t>
  </si>
  <si>
    <t>Plastic - Piyestra - Varandah Chair - Black</t>
  </si>
  <si>
    <t>PVAC005-JW</t>
  </si>
  <si>
    <t>PRT004-BK</t>
  </si>
  <si>
    <t>Plastic - Piyestra - Round Table-Black</t>
  </si>
  <si>
    <t>PRT004-JW</t>
  </si>
  <si>
    <t>Plastic - Piyestra - Round Table-Jackwood</t>
  </si>
  <si>
    <t>PRT004-RW</t>
  </si>
  <si>
    <t>Plastic - Piyestra - Round Table-Rosewood</t>
  </si>
  <si>
    <t>KVAC010-BK</t>
  </si>
  <si>
    <t>Plastic - Kingstar- Verandah Chair- Black</t>
  </si>
  <si>
    <t>KVAC010-RW</t>
  </si>
  <si>
    <t>Plastic - Kingstar - Varandah Chair - Rosewood</t>
  </si>
  <si>
    <t>KDC306-BK</t>
  </si>
  <si>
    <t>Plastic - Kingstar - Dining Chair - Black</t>
  </si>
  <si>
    <t>KDC306-RW</t>
  </si>
  <si>
    <t>Plastic - Kingstar - Dining Chair - Rosewood</t>
  </si>
  <si>
    <t>KPC001-JW</t>
  </si>
  <si>
    <t>Plastic- Kingstar-Arm Chair-Jackwood</t>
  </si>
  <si>
    <t>KPC002-RW</t>
  </si>
  <si>
    <t>Plastic- Kingstar-Arm Chair-Rosewood</t>
  </si>
  <si>
    <t>PSEL010-697 16</t>
  </si>
  <si>
    <t>Sofa-Eliza Recliner-(3+1R+1R)-697 16-FF</t>
  </si>
  <si>
    <t>PKWY003-M22</t>
  </si>
  <si>
    <t>KD-Piyestra - Wardrobe-Ammy 3D(136*57*197)</t>
  </si>
  <si>
    <t>PDC305-JW</t>
  </si>
  <si>
    <t>Plastic - Piyestra - Dining Chair- Jackwood</t>
  </si>
  <si>
    <t>PDC305-RW</t>
  </si>
  <si>
    <t>Plastic - Piyestra - Dining Chair- Rosewood</t>
  </si>
  <si>
    <t>PDC304-JW</t>
  </si>
  <si>
    <t>PDT001-RW</t>
  </si>
  <si>
    <t>Plastic - Piyestra - Dining Table- Rosewood</t>
  </si>
  <si>
    <t>PHC003-YL</t>
  </si>
  <si>
    <t>Plastic - Piyestra - Hybrid Chair - Yellow</t>
  </si>
  <si>
    <t>PPC114-JW</t>
  </si>
  <si>
    <t>Plastic- Piyestra-Arm Chair-Jackwood</t>
  </si>
  <si>
    <t>PPC115-RW</t>
  </si>
  <si>
    <t>Plastic- Piyestra-Arm Chair-Rosewood</t>
  </si>
  <si>
    <t>PPC117-JW</t>
  </si>
  <si>
    <t>PPC117-RW</t>
  </si>
  <si>
    <t>PRAT001-RW</t>
  </si>
  <si>
    <t>PKWT002-M31</t>
  </si>
  <si>
    <t>KD-Piyestra- Writing Table (133cm*75.5cm*76cm)</t>
  </si>
  <si>
    <t>KKWB019-M37</t>
  </si>
  <si>
    <t>KD-Kingstar- Wardrobe 2 Door- (121*44*185.5)</t>
  </si>
  <si>
    <t>PLC003R-BK</t>
  </si>
  <si>
    <t>Ex-Chair-Lecture-With Arm-(R)Black</t>
  </si>
  <si>
    <t>ECL001R-BK</t>
  </si>
  <si>
    <t>Ex Chair-low Back-Economy-Gas Lift-Rexine-BI</t>
  </si>
  <si>
    <t>PKWT004-M31</t>
  </si>
  <si>
    <t>KD-Piyestra -Writing Table (152cm*75.5cm*76cm)</t>
  </si>
  <si>
    <t>ESV001-BK</t>
  </si>
  <si>
    <t>Ex Chair-Visitor-Superior Chair-Black</t>
  </si>
  <si>
    <t>ESH001-BK</t>
  </si>
  <si>
    <t>Ex Chair-High Back-Superior-Black</t>
  </si>
  <si>
    <t>PDC307-BK</t>
  </si>
  <si>
    <t>Plastic - Piyestra - Dining Chair-Black</t>
  </si>
  <si>
    <t>PDC307-RW</t>
  </si>
  <si>
    <t>Plastic -Piyestra -Dining Chair-Rosewood</t>
  </si>
  <si>
    <t>PDC307-JW</t>
  </si>
  <si>
    <t>Plastic -Piyestra -Dining Chair-Jackwood</t>
  </si>
  <si>
    <t>PCT001-BK</t>
  </si>
  <si>
    <t>Plastic -Piyestra -Centre Table-Black</t>
  </si>
  <si>
    <t>PCT001-JW</t>
  </si>
  <si>
    <t>Plastic -Piyestra -CentreTable-Jackwood</t>
  </si>
  <si>
    <t>PDC001-RW</t>
  </si>
  <si>
    <t>Plastic -Piyestra -Centre Table-Rosewood</t>
  </si>
  <si>
    <t>PVAC009-BK</t>
  </si>
  <si>
    <t>Plastic -Piyestra -Verandah Chair-Black</t>
  </si>
  <si>
    <t>PVAC009-RW</t>
  </si>
  <si>
    <t>Plastic -Piyestra -Verandah Chair-Rosewood</t>
  </si>
  <si>
    <t>KDC306-JW</t>
  </si>
  <si>
    <t>Plastic -Kingstar -Dining Chair -Jackwood</t>
  </si>
  <si>
    <t>PKWT008-M31/</t>
  </si>
  <si>
    <t>KD- Piyestra- Writing Table (220cm x 88cm x 76. )</t>
  </si>
  <si>
    <t>PKOC006-M31/</t>
  </si>
  <si>
    <t>KD- Piyestra- Office Cupboard (80cm x 40.5cm x 7)</t>
  </si>
  <si>
    <t>PKMP001-M31/2</t>
  </si>
  <si>
    <t>KD- Piyestra- Movable Pedestal(47.5cmx48cmx6)</t>
  </si>
  <si>
    <t>TR08-BK</t>
  </si>
  <si>
    <t>Shoe Rack- 8 Trays-Black</t>
  </si>
  <si>
    <t>TR04-BK</t>
  </si>
  <si>
    <t>Shoe Rack- 4 Trays-Black</t>
  </si>
  <si>
    <t>PPR04-BL</t>
  </si>
  <si>
    <t>Plate Rack With Cover-Blue</t>
  </si>
  <si>
    <t>PPR02-PI</t>
  </si>
  <si>
    <t>Plate Rack -Small [Double Tray]-Pink</t>
  </si>
  <si>
    <t>PPR01-BL</t>
  </si>
  <si>
    <t>Plate Rack-Blue</t>
  </si>
  <si>
    <t>PBC004-PI</t>
  </si>
  <si>
    <t>Plastic-Baby Chair-Pink</t>
  </si>
  <si>
    <t>PBC004-BL</t>
  </si>
  <si>
    <t>Plastic-Baby Chair-Blue</t>
  </si>
  <si>
    <t>PBC001-BL</t>
  </si>
  <si>
    <t>DWJ01</t>
  </si>
  <si>
    <t>Water Jug -01</t>
  </si>
  <si>
    <t>DWB02</t>
  </si>
  <si>
    <t>Water Bottle(650ml)</t>
  </si>
  <si>
    <t>DVC01-BL</t>
  </si>
  <si>
    <t>Vegitable Crate - Blue</t>
  </si>
  <si>
    <t>DRBB01</t>
  </si>
  <si>
    <t>Rattan Baby Buseket</t>
  </si>
  <si>
    <t>DMB01E</t>
  </si>
  <si>
    <t>Mop Basket</t>
  </si>
  <si>
    <t>DMB01</t>
  </si>
  <si>
    <t>DLRB02-BL</t>
  </si>
  <si>
    <t>Laundry Bucket (Small)-Blue</t>
  </si>
  <si>
    <t>DLRB01-BL</t>
  </si>
  <si>
    <t>Laundry Bucket-Blue</t>
  </si>
  <si>
    <t>DKR-PI</t>
  </si>
  <si>
    <t>Kitchen Rack</t>
  </si>
  <si>
    <t>DFC01</t>
  </si>
  <si>
    <t>Food Cover</t>
  </si>
  <si>
    <t>DDC05E[8D]-BR</t>
  </si>
  <si>
    <t>8D Cupboard (Economy) - Brown</t>
  </si>
  <si>
    <t>DDC03E[6D]-BR</t>
  </si>
  <si>
    <t>Large 3D Drawer Cupboard-Brown</t>
  </si>
  <si>
    <t>DDC03E[4D]-BR</t>
  </si>
  <si>
    <t>Large 4D Drawer Cupboard- Economy - Brown</t>
  </si>
  <si>
    <t>DDB004-BK</t>
  </si>
  <si>
    <t>Dust Bin-Square-Black</t>
  </si>
  <si>
    <t>DDB003-BK</t>
  </si>
  <si>
    <t>Dust Bin-Round-Black</t>
  </si>
  <si>
    <t>DDB002-BR</t>
  </si>
  <si>
    <t>Dust Bin-Swing Top Brown</t>
  </si>
  <si>
    <t>DBWL01</t>
  </si>
  <si>
    <t>Baby Walker</t>
  </si>
  <si>
    <t>DBSW01S</t>
  </si>
  <si>
    <t xml:space="preserve">Baby Swing  </t>
  </si>
  <si>
    <t>DBCS02</t>
  </si>
  <si>
    <t>Baby Commode Chair</t>
  </si>
  <si>
    <t>DBCS01</t>
  </si>
  <si>
    <t>Baby Commode</t>
  </si>
  <si>
    <t>DBBX01</t>
  </si>
  <si>
    <t>Baby Box</t>
  </si>
  <si>
    <t>AFH075DGSL</t>
  </si>
  <si>
    <t>EN 27"x75" Daxor Door-Glass-Frame-3H-(L) - Beech</t>
  </si>
  <si>
    <t>EH 27"x75" Daxor Door-Glass-Frame-3H-(L) - Beech</t>
  </si>
  <si>
    <t>AFH02775L</t>
  </si>
  <si>
    <t>E 27"x75" Daxor Door-FRM-3H-(L) -Beech</t>
  </si>
  <si>
    <t>AFH02472R</t>
  </si>
  <si>
    <t>E 24"x72" Daxor Door-FRM-3H-(R) - Beech</t>
  </si>
  <si>
    <t>FGBSKMKTC006</t>
  </si>
  <si>
    <t>COCO MARKETING BASKET - WOOD</t>
  </si>
  <si>
    <t>FGCBAS351401</t>
  </si>
  <si>
    <t>CASE CANOE BASIN 35LT (14) - GRANGE</t>
  </si>
  <si>
    <t>FGCBAS351403</t>
  </si>
  <si>
    <t>CASE CANOE BASIN 35LT (14) - ORANGE</t>
  </si>
  <si>
    <t>FGCBKP102108</t>
  </si>
  <si>
    <t>CASE PAIL 10LT (21) - LIME/FOG</t>
  </si>
  <si>
    <t>FGCBKP151501</t>
  </si>
  <si>
    <t>CASE PAIL 15LT (15) - CORAL</t>
  </si>
  <si>
    <t>FGCBKP181602</t>
  </si>
  <si>
    <t>CASE PAIL 18LT (16) - LIME &amp; SUNNY</t>
  </si>
  <si>
    <t>FGCBKP251202</t>
  </si>
  <si>
    <t>CASE PAIL 25LT (12) - LIME &amp; SUNNY</t>
  </si>
  <si>
    <t>FGBRL45LT001</t>
  </si>
  <si>
    <t>BARREL 45LT 2012 SUP ( C )- GREEN</t>
  </si>
  <si>
    <t>FGBRL45LT005</t>
  </si>
  <si>
    <t>BARREL 45LT 2012 SUP ( C )-  YELLOW</t>
  </si>
  <si>
    <t>FGBASBI7LT01</t>
  </si>
  <si>
    <t>SQ BIN 7LT - MALDIVE</t>
  </si>
  <si>
    <t>FGCBSKLDB001</t>
  </si>
  <si>
    <t>CASE LAUNDRY BASKET BUTTON  (14) - NILE &amp; FOG</t>
  </si>
  <si>
    <t>FGCBSKLDB002</t>
  </si>
  <si>
    <t>CASE LAUNDRY BASKET BUTTON  (14) - LGREEN&amp;LAVENDER</t>
  </si>
  <si>
    <t>FGCBSKLDBL02</t>
  </si>
  <si>
    <t>CASE LAUNDRY BASKET BUTTON  (18) - LGREEN &amp; FOG</t>
  </si>
  <si>
    <t>FGCBSMOT2405</t>
  </si>
  <si>
    <t>CASE MOP BASKET TWIN BIN(24) - FOG/ORANGE&amp;FOG/GREY</t>
  </si>
  <si>
    <t>FGCBTNEWL001</t>
  </si>
  <si>
    <t>CASE BABY BATH TUB NEW LARGE (18) - AQUA</t>
  </si>
  <si>
    <t>FGCBTNEWL002</t>
  </si>
  <si>
    <t>CASE BABY BATH TUB NEW LARGE (18) -  PINK</t>
  </si>
  <si>
    <t>FGCBYPOTY004</t>
  </si>
  <si>
    <t>CASE BABY POTTY (20) - SKY &amp; STRAWBERRY</t>
  </si>
  <si>
    <t>FGCHRARML002</t>
  </si>
  <si>
    <t xml:space="preserve">CHAIR BABY ARMLES 2011/1-GREEN </t>
  </si>
  <si>
    <t>FGCHRSOFA008</t>
  </si>
  <si>
    <t>CHAIR BABY SOFA2011/2 - RED</t>
  </si>
  <si>
    <t>FGCHRSOFA058</t>
  </si>
  <si>
    <t xml:space="preserve">CHAIR BABY SOFA2011/2 - YELLOW </t>
  </si>
  <si>
    <t>FGCDPB306003</t>
  </si>
  <si>
    <t>CASE DOME PUSH BIN 30L (6) - BEIGE</t>
  </si>
  <si>
    <t>FGCFDCLRG001</t>
  </si>
  <si>
    <t>CASE FOOD COVER ROUND (12) - MARBLE &amp; FOG</t>
  </si>
  <si>
    <t>FGCPOTGR0804</t>
  </si>
  <si>
    <t>CASE FLOWER POT GRO 8L (12) - INDIK</t>
  </si>
  <si>
    <t>FGCPOTGR0803</t>
  </si>
  <si>
    <t>CASE FLOWER POT GRO 8L (12) - HIBISCUS</t>
  </si>
  <si>
    <t>FGCPOTGR1205</t>
  </si>
  <si>
    <t xml:space="preserve">CASE FLOWER POT GRO 12L (12) PHX01 - NIGHT </t>
  </si>
  <si>
    <t>FGCLC0011601</t>
  </si>
  <si>
    <t>CASE LOOP CONTAINER 1KG (18) - CHILLI &amp; LAKE</t>
  </si>
  <si>
    <t>FGCLC0021201</t>
  </si>
  <si>
    <t>CASE LOOP CONTAINER 2KG (12) - CHILLI &amp; LAKE</t>
  </si>
  <si>
    <t>FGCPBD187001</t>
  </si>
  <si>
    <t>CASE PEDEL BIN DELUX 18L (7) SILVER/ORANGE</t>
  </si>
  <si>
    <t>FGCPBD187004</t>
  </si>
  <si>
    <t>CASE PEDEL BIN DELUX 18L (7) SILVER/GRANE</t>
  </si>
  <si>
    <t>FGCPBD187005</t>
  </si>
  <si>
    <t>CASE PEDEL BIN DELUX 18L (7) SILVER/BLUE 1</t>
  </si>
  <si>
    <t>FGCPBO141203</t>
  </si>
  <si>
    <t>CASE PEDEL BIN OVAL 14L (12) - BROWN &amp; PEARL BLUE</t>
  </si>
  <si>
    <t>FGCPOTGR1202</t>
  </si>
  <si>
    <t>CASE FLOWER POT GRO 12L (12) - DESERT</t>
  </si>
  <si>
    <t>FGCPOTGR1203</t>
  </si>
  <si>
    <t>CASE FLOWER POT GRO 12L (12) - HIBISCUS</t>
  </si>
  <si>
    <t>FGRCKPLTS010</t>
  </si>
  <si>
    <t>PLATE RACK PRIME 2017 ( C ) WITH BROWN BOX - MARBLE GREY</t>
  </si>
  <si>
    <t>FGRCKPLTP001</t>
  </si>
  <si>
    <t>PLATE RACK PRIME 2017 ( C ) - GREY 414C</t>
  </si>
  <si>
    <t>FGCRTAC15002</t>
  </si>
  <si>
    <t>CRATE VEGETABLE AC - 15 BLUE</t>
  </si>
  <si>
    <t>FGCRTC250017</t>
  </si>
  <si>
    <t>CRATE C - 25 MESH 2018 - GREEN</t>
  </si>
  <si>
    <t>FGCRTC250018</t>
  </si>
  <si>
    <t>CRATE C - 25 MESH 2018 - RED</t>
  </si>
  <si>
    <t>FGCRTC250003</t>
  </si>
  <si>
    <t>CRATE C - 25 MESH - YELLOW</t>
  </si>
  <si>
    <t>FGCRTC260008</t>
  </si>
  <si>
    <t>CRATE VEGETABLE AC - 26 BLUE (FINAGLE LANKA)</t>
  </si>
  <si>
    <t>FGCRTC32H011</t>
  </si>
  <si>
    <t>CRATE C - 32 HANDLE (2015) - GREEN</t>
  </si>
  <si>
    <t>FGCRTC32L001</t>
  </si>
  <si>
    <t>CRATE C - 32 LID (2016) - GREEN</t>
  </si>
  <si>
    <t>FGCRTC32S012</t>
  </si>
  <si>
    <t>CRATE C - 32 NEW SUPERIOR - GRE</t>
  </si>
  <si>
    <t>FGCRTEGG0004</t>
  </si>
  <si>
    <t>CRATE EGG - YELLOW (NEW)</t>
  </si>
  <si>
    <t>FGCRTFISH002</t>
  </si>
  <si>
    <t>CRATE FISH NEW MC40 - GREEN</t>
  </si>
  <si>
    <t>FGCRTJKHH001</t>
  </si>
  <si>
    <t>CRATE VEGETABLE JKH - KLACK</t>
  </si>
  <si>
    <t>FGCRTJKHS005</t>
  </si>
  <si>
    <t>CRATE VEGETABLE JKH LARGE GREEN</t>
  </si>
  <si>
    <t>FGCRTNSTL002</t>
  </si>
  <si>
    <t>CRATE NESIABLE LARGE - GREEN</t>
  </si>
  <si>
    <t>FGCRTNSTL007</t>
  </si>
  <si>
    <t>CRATE NESIABLE LARGE - BLUE</t>
  </si>
  <si>
    <t>FGCRTPC60004</t>
  </si>
  <si>
    <t>CRATE FREEZER PC60 - YELLOW</t>
  </si>
  <si>
    <t>FGCRTTEGG002</t>
  </si>
  <si>
    <t>TRAY EGG - RED</t>
  </si>
  <si>
    <t>FGCRTTEGG003</t>
  </si>
  <si>
    <t>TRAY EGG - YELLOW</t>
  </si>
  <si>
    <t>FGCRTTEGG004</t>
  </si>
  <si>
    <t>TRAY EGG - BLUE</t>
  </si>
  <si>
    <t>FGCRTVGTB041</t>
  </si>
  <si>
    <t>CRATE VEGETABLE JUMBO RED</t>
  </si>
  <si>
    <t>FGCRTVGTB042</t>
  </si>
  <si>
    <t>CRATE VEGETABLE JUMBO YELLOW</t>
  </si>
  <si>
    <t>FGCRTVGTB053</t>
  </si>
  <si>
    <t>CRATE VGTBL MESHED AC - 29 FREEZER GREEN</t>
  </si>
  <si>
    <t>FGCSBOO53001</t>
  </si>
  <si>
    <t>CASE STORAGE BOX 5LT (30) - GLASS/NEON &amp; GLESS/FOG</t>
  </si>
  <si>
    <t>FGCSBO103001</t>
  </si>
  <si>
    <t>CASE STORAGE BOX 10LT (30) - GLASS/NEON &amp; GLESS/FO</t>
  </si>
  <si>
    <t>FGCSBO202401</t>
  </si>
  <si>
    <t>CASE STORAGE BOX 20LT (24) - GLASS/NEON &amp; GLESS/FO</t>
  </si>
  <si>
    <t>FGCSBO301601</t>
  </si>
  <si>
    <t>CASE STORAGE BOX 30LT (16) - GLASS/NEON &amp; GLESS/FO</t>
  </si>
  <si>
    <t>FGCSBO451401</t>
  </si>
  <si>
    <t>CASE STORAGE BOX 45LT (14) - GLASS/NEON &amp; GLESS/FO</t>
  </si>
  <si>
    <t>FGDRWM6PC013</t>
  </si>
  <si>
    <t xml:space="preserve">DRAWER SET - MED 6PC NEW - MIXED </t>
  </si>
  <si>
    <t>FGDRWWAJWW01</t>
  </si>
  <si>
    <t>DRAWER WAVE JUNIOR WITH WHEEL - SNOW</t>
  </si>
  <si>
    <t>FGDRWWAJWW02</t>
  </si>
  <si>
    <t>DRAWER WAVE JUNIOR WITH WHEEL - WOOD</t>
  </si>
  <si>
    <t>FGDSKKIDD019</t>
  </si>
  <si>
    <t>KIDDIES DESK (C ) - YELLOW/PINK</t>
  </si>
  <si>
    <t>FGPOTFLWR034</t>
  </si>
  <si>
    <t>FLOWE P 300*225*ROSE2012 PHX01 - BLACK (DESICCANT MIX)</t>
  </si>
  <si>
    <t>FGPLT1200013</t>
  </si>
  <si>
    <t>PALLET - 1200*800*140mm GREEN</t>
  </si>
  <si>
    <t>FGPLT1200018</t>
  </si>
  <si>
    <t>PALLET - 800*600*140mm GREEN</t>
  </si>
  <si>
    <t>FGCHRALGP001</t>
  </si>
  <si>
    <t>CHAIR ARMLESS GRAND PACIFIC - NEW WOODEN</t>
  </si>
  <si>
    <t>FGCHRBREEZ06</t>
  </si>
  <si>
    <t>CHAIR BREEZ 2024 - PHX 01 MOON</t>
  </si>
  <si>
    <t>FGCHRBREEZ03</t>
  </si>
  <si>
    <t>CHAIR BREEZ 2024 - PYTHON</t>
  </si>
  <si>
    <t>FGCHRBREEZ04</t>
  </si>
  <si>
    <t>CHAIR BREEZ 2024 - INDIK</t>
  </si>
  <si>
    <t>FGFURCHIR004</t>
  </si>
  <si>
    <t>CHAIR L/B DELUXE 2020 - WD/FINIS</t>
  </si>
  <si>
    <t>FGFURCHIR003</t>
  </si>
  <si>
    <t>CHAIR L/B DELUXE 2020 - RS/WOOD</t>
  </si>
  <si>
    <t>FGCHRHOLA004</t>
  </si>
  <si>
    <t>CHAIR HOLA 2024 - PYTHON</t>
  </si>
  <si>
    <t>FGCHRHOLA005</t>
  </si>
  <si>
    <t>CHAIR HOLA 2024 - COFFEE</t>
  </si>
  <si>
    <t>FGCHRHOLA006</t>
  </si>
  <si>
    <t>CHAIR HOLA 2024 - INDIK</t>
  </si>
  <si>
    <t>FGCHRSUNY019</t>
  </si>
  <si>
    <t>CHAIR COMFORT SUNNY - BLACK</t>
  </si>
  <si>
    <t>FGCHRELIT003</t>
  </si>
  <si>
    <t>CHAIR ELITE - ROSE WOOD</t>
  </si>
  <si>
    <t>FGCHRELIT008</t>
  </si>
  <si>
    <t>FGCHRVISN083</t>
  </si>
  <si>
    <t>CHAIR VISION2011-777-BLACK - PHX 01</t>
  </si>
  <si>
    <t>FGCHRKY00002</t>
  </si>
  <si>
    <t>CHAIR KYO - RUBY</t>
  </si>
  <si>
    <t>FGTBLOVAL009</t>
  </si>
  <si>
    <t>TABLE OVAL-STR-LEG(C)MILK COFFEE</t>
  </si>
  <si>
    <t>FGCHRNELM024</t>
  </si>
  <si>
    <t>CHAIR ARMLESS NELUM 2015 - NEW ROSE WOOD</t>
  </si>
  <si>
    <t>FGCHRNELM025</t>
  </si>
  <si>
    <t>CHAIR ARMLESS NELUM 2015 - NEW WOODEN FINISH</t>
  </si>
  <si>
    <t>FGCHRNELM026</t>
  </si>
  <si>
    <t>CHAIR ARMLESS NELUM 2015 - NIGHT</t>
  </si>
  <si>
    <t>FGCHRDUBR001</t>
  </si>
  <si>
    <t>CHAIR DUO BAR - CARRARA</t>
  </si>
  <si>
    <t>FGCHRDUTU004</t>
  </si>
  <si>
    <t>CHAIR DUO TUBE - RUBY</t>
  </si>
  <si>
    <t>MOP BASK..</t>
  </si>
  <si>
    <t>MOP BASKET TWIN- FOG/ORANGE/GRAY</t>
  </si>
  <si>
    <t>FLAP FOL…..</t>
  </si>
  <si>
    <t>FLAP FOLDING CHAIR MIAMI</t>
  </si>
  <si>
    <t>FLAP FOLDING CHAIR PYTHON</t>
  </si>
  <si>
    <t>UP SIT CHI…....</t>
  </si>
  <si>
    <t xml:space="preserve">CASE UP SIT STOOL CHILLI </t>
  </si>
  <si>
    <t>FGBAS1120025</t>
  </si>
  <si>
    <t xml:space="preserve">BASIN 1120 SUPERIOR - GREEN NEW </t>
  </si>
  <si>
    <t>FGBAS30LT028</t>
  </si>
  <si>
    <t>BASIN 30LT SUPERIOR - PHX 01 - D. GREEN NEW</t>
  </si>
  <si>
    <t>FGBAS30LT025</t>
  </si>
  <si>
    <t>BASIN 30LT SUPERIOR - LT . GREEN NEW</t>
  </si>
  <si>
    <t>FGBAS0615018</t>
  </si>
  <si>
    <t xml:space="preserve">BASIN 615 - PHX 01 - LT GREEN NEW </t>
  </si>
  <si>
    <t>FGBAS0615012</t>
  </si>
  <si>
    <t>BASIN 615 - D . GREEN NEW</t>
  </si>
  <si>
    <t>FGBAS18LT015</t>
  </si>
  <si>
    <t>BASIN 18LT SUPERIOR - LT . GREEN NEW</t>
  </si>
  <si>
    <t>FGBAS20LT016</t>
  </si>
  <si>
    <t>BASIN 20LT SUPERIOR - LT. GREEN NEW</t>
  </si>
  <si>
    <t>FGBAS20LT015</t>
  </si>
  <si>
    <t xml:space="preserve">BASIN 20LT SUPERIOR - PHX 01 - D. GREEN NEW </t>
  </si>
  <si>
    <t>FGBASA414009</t>
  </si>
  <si>
    <t>BASIN 414 - PHX 01 - D. GREEN NEW</t>
  </si>
  <si>
    <t>FGBASA414006</t>
  </si>
  <si>
    <t xml:space="preserve">BASIN 414 - LT. GREEN NEW NEW </t>
  </si>
  <si>
    <t>FGBAS45LT022</t>
  </si>
  <si>
    <t>BASIN 45LT SUPERIOR - LT. GREEN NEW</t>
  </si>
  <si>
    <t>FGBAS45LT024</t>
  </si>
  <si>
    <t>BASIN 45LT SUPERIOR D. GREEN NEW</t>
  </si>
  <si>
    <t>FGBAS8180039</t>
  </si>
  <si>
    <t>BASIN 8180 SUPERIOR 2018 - LT. GREEN NEW</t>
  </si>
  <si>
    <t>FGBAS9180038</t>
  </si>
  <si>
    <t>BASIN 9180 SUPERIOR - PHX 01 - LT. GREEN NEW</t>
  </si>
  <si>
    <t>FGCBKP102101</t>
  </si>
  <si>
    <t>CASE PAIL 10LT (21) - CORAL</t>
  </si>
  <si>
    <t>FGCBKP102102</t>
  </si>
  <si>
    <t>CASE PAIL 10LT (21) - MALDIVE</t>
  </si>
  <si>
    <t>FGCBKP102103</t>
  </si>
  <si>
    <t>CASE PAIL 10LT (21) - SUNNY</t>
  </si>
  <si>
    <t>FGCBKP102104</t>
  </si>
  <si>
    <t>CASE PAIL 10LT (21) - LIME</t>
  </si>
  <si>
    <t>FGCBKP102109</t>
  </si>
  <si>
    <t>CASE PAIL 10LT (21) - ORANGE/FOG</t>
  </si>
  <si>
    <t>FGCBKP151503</t>
  </si>
  <si>
    <t>CASE PAIL 15LT (15) - SUNNY</t>
  </si>
  <si>
    <t>FGCBKP151504</t>
  </si>
  <si>
    <t>CASE PAIL 15LT (15) - LIME</t>
  </si>
  <si>
    <t>FGCHRCAFE011</t>
  </si>
  <si>
    <t xml:space="preserve">CHAIR CAFÉ - NEW ROSE WOOD </t>
  </si>
  <si>
    <t>FGCHRCAFE012</t>
  </si>
  <si>
    <t>CHAIR CAFÉ - NEW WOODEN FINISH</t>
  </si>
  <si>
    <t>FGCHRCAFE009</t>
  </si>
  <si>
    <t xml:space="preserve">CHAIR CAFÉ - BLACK </t>
  </si>
  <si>
    <t>FGCHRELIT005</t>
  </si>
  <si>
    <t xml:space="preserve">CHAIR ELITE - WOOD FINISH </t>
  </si>
  <si>
    <t>CHAIR ELITE -  BLACK</t>
  </si>
  <si>
    <t>FGCHRENVS015</t>
  </si>
  <si>
    <t xml:space="preserve">CHAIR ENVISION PHX 03 - BLACK NIGHT </t>
  </si>
  <si>
    <t>FGCHRENVS014</t>
  </si>
  <si>
    <t>CHAIR ENVISIN  2021 COFFEE</t>
  </si>
  <si>
    <t>FGCHRENVS006</t>
  </si>
  <si>
    <t>CHAIR ENVISIN PHX 02 - NEW ROSEWOOD</t>
  </si>
  <si>
    <t>FGTBLMOMO003</t>
  </si>
  <si>
    <t xml:space="preserve">TABLE MOMO - BLACK </t>
  </si>
  <si>
    <t>FGTBLMOMO001</t>
  </si>
  <si>
    <t>TABLE MOMO - NEW ROSE WOOD</t>
  </si>
  <si>
    <t>FGTBLMOMO002</t>
  </si>
  <si>
    <t>TABLE MOMO - NEW WOODEN FINISH</t>
  </si>
  <si>
    <t>FGCHRAUDI041</t>
  </si>
  <si>
    <t xml:space="preserve">CHAIR AUDITORIUM ORCHID PHX 03 NEW ROSE WOOD </t>
  </si>
  <si>
    <t>FGCHRAUDI039</t>
  </si>
  <si>
    <t xml:space="preserve">CHAIR AUDITORIUM ORCHID PHX 02 NEW WOOD FINISH </t>
  </si>
  <si>
    <t>FGCHROLIV002</t>
  </si>
  <si>
    <t>CHAIR OLIVIYA - GREEN GALLE</t>
  </si>
  <si>
    <t>FGCHROLIV012</t>
  </si>
  <si>
    <t xml:space="preserve">CHAIR OLIVIYA  PHX 01 - BLACK </t>
  </si>
  <si>
    <t>FGCBKP151507</t>
  </si>
  <si>
    <t>FGCBKP151508</t>
  </si>
  <si>
    <t>CASE PAIL 15LT (15) - LIME/FOG</t>
  </si>
  <si>
    <t>FGBASO615012</t>
  </si>
  <si>
    <t>BASIN 615 - D. GREEN NEW</t>
  </si>
  <si>
    <t>FGCHRARML032</t>
  </si>
  <si>
    <t>CHAIR ARMLESS 2011-2-PHX 01 - N/RW</t>
  </si>
  <si>
    <t>FGCHRRATN030</t>
  </si>
  <si>
    <t xml:space="preserve">CHAIR L/B RATTAN 2015PHX 01 - HOBBY BROWN </t>
  </si>
  <si>
    <t>FGCHRRATN029</t>
  </si>
  <si>
    <t>CHAIR L/B RATTAN 2015PHX 01 - NIGHT</t>
  </si>
  <si>
    <t>FGCHRVISN084</t>
  </si>
  <si>
    <t>CHAIR VISION2011-777-BLACK - PHX 02</t>
  </si>
  <si>
    <t>FGCHRAUDI040</t>
  </si>
  <si>
    <t>CHAIR AUDITORIUM ORCHID PHX 03 BLACK</t>
  </si>
  <si>
    <t>FGCHRMINT001</t>
  </si>
  <si>
    <t>CHAIR MINT- BLACK NIGHT</t>
  </si>
  <si>
    <t>FGCHRMINT004</t>
  </si>
  <si>
    <t xml:space="preserve">CHAIR MINT - SNOW </t>
  </si>
  <si>
    <t>FGCHRSUNY023</t>
  </si>
  <si>
    <t>CHAIR COMFORT SUNNY PHX 01-R/WOOD</t>
  </si>
  <si>
    <t>FGCHRSUNY024</t>
  </si>
  <si>
    <t xml:space="preserve">CHAIR COMFORT SUNNY PHX 01-W/FINISH </t>
  </si>
  <si>
    <t>FGSTLRATN007</t>
  </si>
  <si>
    <t>RATTAN STOOL -DARK BROWN</t>
  </si>
  <si>
    <t>FGSTLRATN017</t>
  </si>
  <si>
    <t>RATTAN STOOL  PHX 01 -BLACK</t>
  </si>
  <si>
    <t>FGSTLRATN015</t>
  </si>
  <si>
    <t>RATTAN STOOL - GREEN GALLE</t>
  </si>
  <si>
    <t>FGTBLCFRD025</t>
  </si>
  <si>
    <t>TABLE COFFEE ROUND 2012 -PHX 01 NEW ROSE WOOD</t>
  </si>
  <si>
    <t>FGTBLCFRD026</t>
  </si>
  <si>
    <t xml:space="preserve">TABLE COFFEE ROUND 2012 -PHX 01 NEW  WOOD FINISH </t>
  </si>
  <si>
    <t>FGDRWM6PC010</t>
  </si>
  <si>
    <t>DRAWER SET - MED 6PC NEW - SNOW/LAKE</t>
  </si>
  <si>
    <t>FGDRWM4PC031</t>
  </si>
  <si>
    <t>DRAWER SET - MED 4PC NEW  - MIXED</t>
  </si>
  <si>
    <t>FGBAS1120023</t>
  </si>
  <si>
    <t>BASIN 1120 SUPERIOR - LT.GREEN NEW</t>
  </si>
  <si>
    <t>FGBAS1220027</t>
  </si>
  <si>
    <t>BASIN 1120 SUPERIOR - PHX 02- D DREEN NEW</t>
  </si>
  <si>
    <t>FGCBAS151402</t>
  </si>
  <si>
    <t>CASE CANOE BASIN 15LT (14) - OCEAN</t>
  </si>
  <si>
    <t>FGCBAS251401</t>
  </si>
  <si>
    <t xml:space="preserve">CASE CANOE BASIN 25LT (14) - LT . GREEN </t>
  </si>
  <si>
    <t xml:space="preserve">CASE PAIL 10LT (21) - CORAL </t>
  </si>
  <si>
    <t>CASE PAIL 15LT (15) -  SUNNY/FOG</t>
  </si>
  <si>
    <t>CASE PAIL 15LT (15) -  LIME/FOG</t>
  </si>
  <si>
    <t>FGBAS18LT019</t>
  </si>
  <si>
    <t>BASIN 18LT SUPERIOR - PHX 01 - D . GREEN NEW</t>
  </si>
  <si>
    <t>BASIN 414 - LT.GREEN NEW NEW</t>
  </si>
  <si>
    <t>FGBAS45LT025</t>
  </si>
  <si>
    <t>BASIN 45LT SUPERIOR - PHX 01 - D. GREEN</t>
  </si>
  <si>
    <t>FGCSB0651001</t>
  </si>
  <si>
    <t>CASE STORRAGE BOX * 65LT (10) - GLASS /NEON &amp; GLASS/FO</t>
  </si>
  <si>
    <t>Nedunkeny</t>
  </si>
  <si>
    <t>SALES NAME</t>
  </si>
  <si>
    <t>DATE</t>
  </si>
  <si>
    <t>RATE</t>
  </si>
  <si>
    <t>1box</t>
  </si>
  <si>
    <t>IRI/195-DVT</t>
  </si>
  <si>
    <t>Innovex Direct Cool Ref 180Lts With Lock/Dark</t>
  </si>
  <si>
    <t>WMFA70S-DG</t>
  </si>
  <si>
    <t>Innovex Fully W/M - Wash 7KG (Dark Grey)</t>
  </si>
  <si>
    <t>IDR-180S-BLL</t>
  </si>
  <si>
    <t>Innovex Single Door Direct Cool Refrigerator (Blue)</t>
  </si>
  <si>
    <t>IDSF330D4</t>
  </si>
  <si>
    <t>Innovex Display Freezer 330 Ltr</t>
  </si>
  <si>
    <t>Samsung 32" HD Wide Colour Enhancer Family</t>
  </si>
  <si>
    <t>ITVE43GTV</t>
  </si>
  <si>
    <t>INNOVEK LED TV 4K Google Led - 43"</t>
  </si>
  <si>
    <t>ITVE55GTV</t>
  </si>
  <si>
    <t>INNOVEK LED TV 4K Google Led - 55"</t>
  </si>
  <si>
    <t>F-56MZ2</t>
  </si>
  <si>
    <t>Panasonic Ceiling Fan 56"</t>
  </si>
  <si>
    <t>IRC159</t>
  </si>
  <si>
    <t>Innovex Rice Cookers - 1.5 Ltr</t>
  </si>
  <si>
    <t>IRC289</t>
  </si>
  <si>
    <t>Innovex Rice Cookers - 2.8 Ltr</t>
  </si>
  <si>
    <t>IRC229</t>
  </si>
  <si>
    <t>Innovex Rice Cookers - 2.2 Ltr</t>
  </si>
  <si>
    <t>TH32MS67ON</t>
  </si>
  <si>
    <t>Panasonic Google TV 32", Netflix, YouTube, DB, So</t>
  </si>
  <si>
    <t>CZWM11WP</t>
  </si>
  <si>
    <t>Cenza Wash Machine Top Loading 11Kg Full Au</t>
  </si>
  <si>
    <t>IAC129S/NI/</t>
  </si>
  <si>
    <t>NII-Innovex A/C - 12000 TU Split Standard Non Invert</t>
  </si>
  <si>
    <t>IAC129IN/</t>
  </si>
  <si>
    <t>NII-Innovex A/C - 12000BTU Split Inverter</t>
  </si>
  <si>
    <t>CSICU-EU12AK</t>
  </si>
  <si>
    <t>N/I-Airconditioner 12000BTU Invert Split R32 Gas</t>
  </si>
  <si>
    <t>IAC249/IN</t>
  </si>
  <si>
    <t>N/F-Innovet A/C 24000BTU Split Inverter IN</t>
  </si>
  <si>
    <t>AR50F12DOUJHN</t>
  </si>
  <si>
    <t>N/I-Samsung Air Conditioner 12000BTU Inverter</t>
  </si>
  <si>
    <t>AR50F24D1UHN</t>
  </si>
  <si>
    <t xml:space="preserve">Sofa - Kingstar -Crown - full Set (1+1+3)-299 10 </t>
  </si>
  <si>
    <t>KSGL012-H/I 10-</t>
  </si>
  <si>
    <t>Sofa - Kingstar -Gloria - full Set (1+1+3)-H/I 10-TT</t>
  </si>
  <si>
    <t>PSCR012-299 1</t>
  </si>
  <si>
    <t>Sofa-Cristina-Full set (1+2+3)-299 11-TT</t>
  </si>
  <si>
    <t>PKCB001-M31</t>
  </si>
  <si>
    <t>KD- Piyestar -Bed -Camilia 75"*36"-M31</t>
  </si>
  <si>
    <t>PKCB002-M31</t>
  </si>
  <si>
    <t>KD- Piyestar -Bed -Camilia 75"*48"-M32</t>
  </si>
  <si>
    <t>KKBP014-M37</t>
  </si>
  <si>
    <t>KD- Kingstar-Bed - 75"*48"- (190*122)cm -M3</t>
  </si>
  <si>
    <t>PKBP015-M37</t>
  </si>
  <si>
    <t>KD- Kingstar- Bed- 75" x 60" - (190 x 152)cm-M3</t>
  </si>
  <si>
    <t>PKWB016-L03-</t>
  </si>
  <si>
    <t>KD- Kingstar- Wardrobe 3D &amp; 3L- (121 x 43 x185)</t>
  </si>
  <si>
    <t>PGNQ0236</t>
  </si>
  <si>
    <t>Mattress -Piyestra -72"x36"x06"-New Grand -D/L</t>
  </si>
  <si>
    <t>PWDVN1-NAR1/</t>
  </si>
  <si>
    <t>Wooden- Piyestra- Dining Suite -Vision (T1 + C4</t>
  </si>
  <si>
    <t>KSLD010-299 10</t>
  </si>
  <si>
    <t>Sofa- Kingstar- Linda- Full Set (1+1+3)-299 10-T</t>
  </si>
  <si>
    <t>KSLD010-299 13</t>
  </si>
  <si>
    <t>Sofa- Kingstar- Linda- Full Set (1+1+3)-299 13-T</t>
  </si>
  <si>
    <t>KSGL012-H/I 08-</t>
  </si>
  <si>
    <t>Sofa- Kingstar- Gloria -Full Set (1+2+3)-H/I 08-TT</t>
  </si>
  <si>
    <t>KKWB021-M37</t>
  </si>
  <si>
    <t>KD- Kingstar- Wardrobe 2 Door- (80 x43 x185)c</t>
  </si>
  <si>
    <t>PKWFCDQ4-M58</t>
  </si>
  <si>
    <t>KD-Piyesta-Wardrobe-Felicity 4D(186x61x1)</t>
  </si>
  <si>
    <t>KKWB017-M37</t>
  </si>
  <si>
    <t>KD-Kingstar-Wardrobe 2D-(80"x43"x185")cm-MAOS</t>
  </si>
  <si>
    <t>KKBP015-M37</t>
  </si>
  <si>
    <t>KD-Kingstar-Bed-75"x60" (190x152)cm-M3</t>
  </si>
  <si>
    <t>KSLD010-299 12</t>
  </si>
  <si>
    <t>Sofa-Kingstar-Linda-Full Set (1+1+3)-299 T2-t</t>
  </si>
  <si>
    <t>KSCRC010-HI 08-</t>
  </si>
  <si>
    <t>Sofa-Kingstar-Crown Full Set (1+1+3)-HI 08-T</t>
  </si>
  <si>
    <t>Mattress-Kingstar-72"x60"x05"-Cool Foam-DL</t>
  </si>
  <si>
    <t>ISH352</t>
  </si>
  <si>
    <t>Innovex Instant Shower Heater 3.5Kw</t>
  </si>
  <si>
    <t>ISH352P</t>
  </si>
  <si>
    <t>Innovex Instant Shower Heater With Pump 3.5K</t>
  </si>
  <si>
    <t>PCT001-RW</t>
  </si>
  <si>
    <t>Plastic -Piyestra -CentreTable-Rosewood</t>
  </si>
  <si>
    <t>IGS006</t>
  </si>
  <si>
    <t>IGS005GN</t>
  </si>
  <si>
    <t>Innovex Gas Stove</t>
  </si>
  <si>
    <t>Innovex Gas Stove - Tempered Glass Top</t>
  </si>
  <si>
    <t>FGCHRALGP002</t>
  </si>
  <si>
    <t>CHAIR ARMLESS GRAND PACIFIC - NEW ROSEWOOD</t>
  </si>
  <si>
    <t>FGCHRALGP003</t>
  </si>
  <si>
    <t>CHAIR ARMLESS GRAND PACIFIC - NIGHT</t>
  </si>
  <si>
    <t>FGCHRVINT043</t>
  </si>
  <si>
    <t>CHAIR VINTAGE HB2011 PHX 05 111 - BLACK</t>
  </si>
  <si>
    <t>FGCHROLIV010</t>
  </si>
  <si>
    <t>CHAIR OLIVIA- COFFEE</t>
  </si>
  <si>
    <t>FGCHRVREEZ03</t>
  </si>
  <si>
    <t>CHAIR BREEZ 2024-PYTHON</t>
  </si>
  <si>
    <t>CHAIR L/B DELUXE 2020-WD/FINIS</t>
  </si>
  <si>
    <t>CHAIR L/B DELUXE 2020-RS/WOOD</t>
  </si>
  <si>
    <t>FGCHRPFIC038</t>
  </si>
  <si>
    <t>CHAIR M/B PACIFIC 222 2012 PHX 01-R/W (NEW)</t>
  </si>
  <si>
    <t>FGCHRPFIC008</t>
  </si>
  <si>
    <t>CHAIR M/B PACIFIC 222 2012 W/F</t>
  </si>
  <si>
    <t>FGCHRPFIC037</t>
  </si>
  <si>
    <t>CHAIR M/B PACIFIC 222 2012 PHX 01 - BLACK (NEW)</t>
  </si>
  <si>
    <t>FGCHRVISN085</t>
  </si>
  <si>
    <t>CHAIR VISION2011 -777 - BLACK - PHX 03</t>
  </si>
  <si>
    <t>TABLE MOMO - BLACK</t>
  </si>
  <si>
    <t xml:space="preserve"> TABLE MOMO - NEW ROSE WOOD</t>
  </si>
  <si>
    <t>FGCHRMINT005</t>
  </si>
  <si>
    <t>CHAIR MINT - DARK BROWN</t>
  </si>
  <si>
    <t>FGCHRMINT007</t>
  </si>
  <si>
    <t>CHAIR MINT - GREEN GALLE</t>
  </si>
  <si>
    <t>FGCHRSUNY022</t>
  </si>
  <si>
    <t>CHAIR COMFORT SUNNY 2018 - BLACK</t>
  </si>
  <si>
    <t>FGCHRCAMBR11</t>
  </si>
  <si>
    <t>CHAIR CAMBRIDGE 2018 - PHX 01 BROWN</t>
  </si>
  <si>
    <t>FGCHRKYO0001</t>
  </si>
  <si>
    <t>CHAIR KYO - MOON</t>
  </si>
  <si>
    <t>FGCHRKYO0004</t>
  </si>
  <si>
    <t>CHAIR KYO - PEPPERMINT</t>
  </si>
  <si>
    <t>FGSTLCOKT001</t>
  </si>
  <si>
    <t>COCKTAIL BAR STOOL - PYTHON</t>
  </si>
  <si>
    <t>FGCHRRAT N019</t>
  </si>
  <si>
    <t>Chair L/B Rattan - GREIGE</t>
  </si>
  <si>
    <t>FGCHRCALA CASE C06</t>
  </si>
  <si>
    <t xml:space="preserve">CALA CHAIR (2) - MOON </t>
  </si>
  <si>
    <t>FGCHRCALACASE C01</t>
  </si>
  <si>
    <t>CALA CHAIR (2) - MIAMI</t>
  </si>
  <si>
    <t>FGCHRBRE EZ03</t>
  </si>
  <si>
    <t>CHAIR BREEZE 2024 - PYTHON</t>
  </si>
  <si>
    <t>FGCHRKYO 0002</t>
  </si>
  <si>
    <t>CHAIR KYO - COFFEE</t>
  </si>
  <si>
    <t>FGCHRCFLF L03</t>
  </si>
  <si>
    <t>CASE FLAP FOLDING CHAIR (5) - Yolk</t>
  </si>
  <si>
    <t>FGCHRCBRE EZ04</t>
  </si>
  <si>
    <t>FGCHRCAM BR05</t>
  </si>
  <si>
    <t>CHAIR CAMBRIDGE 2018 - BALCK NIGHT</t>
  </si>
  <si>
    <t>FGCHRSUN Y005</t>
  </si>
  <si>
    <t>CHAIR COMFORT SUNNY-R/WOOD</t>
  </si>
  <si>
    <t>FGSTLRATN   004</t>
  </si>
  <si>
    <t>RATTAN STOOL - NIGHT</t>
  </si>
  <si>
    <t>IVCW005</t>
  </si>
  <si>
    <t>IRC562</t>
  </si>
  <si>
    <t>Innovex Rice Cookers-5.6Ltr</t>
  </si>
  <si>
    <t>Totale</t>
  </si>
  <si>
    <t>KSCR010.299 1</t>
  </si>
  <si>
    <t>Sofa-Kingstar-Crown-Full Set (1+1+3) -299 13</t>
  </si>
  <si>
    <t>KSCR010.H/l 08.</t>
  </si>
  <si>
    <t>Sofa-Kingstar-Crown-Full Set (1+1+3) H/08</t>
  </si>
  <si>
    <t>KD-Kingstar-Wardrobe 2 Door - (80 x43 x185)c</t>
  </si>
  <si>
    <t>DDC04ES(6D)-PI</t>
  </si>
  <si>
    <t>6D Cupboard With Sticker (Economy) - Pink</t>
  </si>
  <si>
    <t>DDC04ES(6D)-G</t>
  </si>
  <si>
    <t>6D Cupboard With Sticker (Economy) - Green</t>
  </si>
  <si>
    <t>DDC04ES(6D)-B</t>
  </si>
  <si>
    <t>6D Cupboard With Sticker (Economy) - Black</t>
  </si>
  <si>
    <t>PBC004-RD</t>
  </si>
  <si>
    <t>Plastic-Baby Chair-Red</t>
  </si>
  <si>
    <t>PBC001-PI</t>
  </si>
  <si>
    <t>seeddu</t>
  </si>
  <si>
    <t>PKWU002-M22</t>
  </si>
  <si>
    <t>KD-Piyestra-Wall Unit (136cm x 45cm x 180.5c)</t>
  </si>
  <si>
    <t>KKWU006-M22</t>
  </si>
  <si>
    <t>KD-Kingstar-Wall Unit Curve-(120 x41 x137cm</t>
  </si>
  <si>
    <t>PKWU018-M22</t>
  </si>
  <si>
    <t>KD-Piyestra-Wall Unit (120cmx46.5cmx122cm</t>
  </si>
  <si>
    <t>KKWB018-M37</t>
  </si>
  <si>
    <t>KD-Kingstar-Wardrobe 2 Door-(83 x43.5 x183</t>
  </si>
  <si>
    <t>KKWU007-M37</t>
  </si>
  <si>
    <t>KD-Kingstar-Wall Unit-(150 x41 x139)cm</t>
  </si>
  <si>
    <t>PSDQ236</t>
  </si>
  <si>
    <t>Mattress-PIiyestra -72"x36"x05"-Super Cool -D/L</t>
  </si>
  <si>
    <t>PSDQ248</t>
  </si>
  <si>
    <t>Mattress -Piyestra -72"x48"x05"-Super Cool -D/L</t>
  </si>
  <si>
    <t>MTS001</t>
  </si>
  <si>
    <t>Mattress Stand</t>
  </si>
  <si>
    <t>BSP724808TR-0</t>
  </si>
  <si>
    <t>Spring Mattress - 72"x48"x08"- TR 01</t>
  </si>
  <si>
    <t>BSSPF724807-TG</t>
  </si>
  <si>
    <t xml:space="preserve">Spring Mattress - Super Flex -72"x48"x07"- TG </t>
  </si>
  <si>
    <t>Mattress -PIyestra -72"x36"x05"-Hybrid-Q/C</t>
  </si>
  <si>
    <t>PHQ237</t>
  </si>
  <si>
    <t xml:space="preserve">CHAIR ARMLESS NELUM 2015 - NEW WOODEN FINISH </t>
  </si>
  <si>
    <t>CHAIR COMFORT SUNNY PHX 01 - R/WOOD</t>
  </si>
  <si>
    <t>FGCHRSUNY025</t>
  </si>
  <si>
    <t>CASE MOP BASKET WITH BIN(24) - FOG/ORANGE&amp;FOG/GREY</t>
  </si>
  <si>
    <t>FLOVE P 300X225 ROSE2012 PHX01 - BLACK (DESICCANT MIX)</t>
  </si>
  <si>
    <t>FGCPOTGR0402</t>
  </si>
  <si>
    <t>CASE FLOWER POT GR04L (18) - DESERT</t>
  </si>
  <si>
    <t>FGCPOTGR0405</t>
  </si>
  <si>
    <t>CASE FLOWER POT GRO 4L (18) PHX01 - NIGHT</t>
  </si>
  <si>
    <t>FGCSB1306001</t>
  </si>
  <si>
    <t>CASE STORAGE BOX 130L (6) - GLASS/NEON &amp; GLASS/FO</t>
  </si>
  <si>
    <t>FGCBSKLUEL04</t>
  </si>
  <si>
    <t>CASE LAUNDRY BASKET ELITE( 32) - FOG &amp; PINK</t>
  </si>
  <si>
    <t>FGCHRNPHA002</t>
  </si>
  <si>
    <t>NAP HAMMOCK CHAIR - PINK FLAMINGO</t>
  </si>
  <si>
    <t>BSSF724807-TG</t>
  </si>
  <si>
    <t>IDI006</t>
  </si>
  <si>
    <t>KKWB016 - L03</t>
  </si>
  <si>
    <t>KD-Kinstar - Wardrobe 3D &amp; 3L (121*43*185)C</t>
  </si>
  <si>
    <t>FGCHRARML041</t>
  </si>
  <si>
    <t>Chair Baby Armless 2011/1 - Yellow</t>
  </si>
  <si>
    <t>FGCHRSOFA057</t>
  </si>
  <si>
    <t>Chair Baby Sofa 2011/2 - Pink</t>
  </si>
  <si>
    <t xml:space="preserve">FGTBLBTCOM03 </t>
  </si>
  <si>
    <t>FGTBLROND010</t>
  </si>
  <si>
    <t>FGCHRSOFA009</t>
  </si>
  <si>
    <t>Chair Baby Sofa 2011/2 - BL</t>
  </si>
  <si>
    <t xml:space="preserve"> CHAIR BABY SOFA 2011/2 - GREEN</t>
  </si>
  <si>
    <t xml:space="preserve">FGCHRSOFA007 </t>
  </si>
  <si>
    <t xml:space="preserve">FGCHRARML004 </t>
  </si>
  <si>
    <t>FGCHRROCK012</t>
  </si>
  <si>
    <t>FGCRTAC15003</t>
  </si>
  <si>
    <t>Crate Vegetable AC-15 Green</t>
  </si>
  <si>
    <t>FGCRTFISH022</t>
  </si>
  <si>
    <t>Crate Fish New MC40 Freezer - Blue</t>
  </si>
  <si>
    <t>FGCRTFISH021</t>
  </si>
  <si>
    <t>Crate Fish New MC40 Freezer - Yellow</t>
  </si>
  <si>
    <t xml:space="preserve"> </t>
  </si>
  <si>
    <t>Flip Bistro Table</t>
  </si>
  <si>
    <t>FGCHRDUTUST003</t>
  </si>
  <si>
    <t>CHAIR DUO TUBE - STONE</t>
  </si>
  <si>
    <t>FGSTLCOKT004</t>
  </si>
  <si>
    <t xml:space="preserve"> COCKTAIL BAR STOOL - GRAPE</t>
  </si>
  <si>
    <t xml:space="preserve">FGSTLCOKT005 </t>
  </si>
  <si>
    <t>COCKTAIL BAR STOOL - MANGO</t>
  </si>
  <si>
    <t>FGBRL100L002</t>
  </si>
  <si>
    <t>BARREL 100LT RED</t>
  </si>
  <si>
    <t>FGBRL25LS022</t>
  </si>
  <si>
    <t xml:space="preserve">BARREL 25L SUPERIOR ( C ) 2019 DARK GREEN </t>
  </si>
  <si>
    <t>FGBRL50LN028</t>
  </si>
  <si>
    <t>BARREL 50 LT NEW 2016  ( c ) - YELLOW</t>
  </si>
  <si>
    <t>FGBRL50LN024</t>
  </si>
  <si>
    <t xml:space="preserve">BARREL  50LT NEW 2016 ( C ) - ORANGE </t>
  </si>
  <si>
    <t>FGDRWM6PC003</t>
  </si>
  <si>
    <t xml:space="preserve">DRAWER SET - MED 6PC ( C ) - MIXED PINK </t>
  </si>
  <si>
    <t>FGRCKSH4L001</t>
  </si>
  <si>
    <t>FGRCKSH6L001</t>
  </si>
  <si>
    <t xml:space="preserve">SHOE RACK 6 LAYER - BLACK </t>
  </si>
  <si>
    <t>FGBINCHC3L02</t>
  </si>
  <si>
    <t>CASE 3 LT CHOOTY BIN - SALT ( 6 )</t>
  </si>
  <si>
    <t>FGCHRARISC01</t>
  </si>
  <si>
    <t>FGCHRARISC02</t>
  </si>
  <si>
    <t>FGCHRARISC04</t>
  </si>
  <si>
    <t xml:space="preserve">FGCOV05L1605 </t>
  </si>
  <si>
    <t xml:space="preserve">FGCHRARML003 </t>
  </si>
  <si>
    <t>CHAIR BABY ARMLES 2011/1-RED</t>
  </si>
  <si>
    <t>FGCOYU120C10</t>
  </si>
  <si>
    <t>CASE YUMMI 1.2L (12) - CLERR</t>
  </si>
  <si>
    <t>FGCPOTGR0805</t>
  </si>
  <si>
    <t>CASE FLOWER POT GRO 8L (12) - NIGHT</t>
  </si>
  <si>
    <t>FGCPOTGR1204</t>
  </si>
  <si>
    <t>CASE FLOWER POT GRO 12L (12) - INDIK</t>
  </si>
  <si>
    <t>FGDRWWATWW03</t>
  </si>
  <si>
    <t>DRAWER WAVE TWIN WHEEL - GLASS</t>
  </si>
  <si>
    <t>FGBRL50LN025</t>
  </si>
  <si>
    <t>BARREL 50LT NEW 2016 ( C ) - BLUE</t>
  </si>
  <si>
    <t>FGCHRDUTU005</t>
  </si>
  <si>
    <t>CHAIR DUO TUBE WITH CUSION - CARRARA</t>
  </si>
  <si>
    <t>FGCHRDUWD006</t>
  </si>
  <si>
    <t>CHAIR DUO WOOD WITH CUSION - PEPPERMINT</t>
  </si>
  <si>
    <t>FGCHRDUWD008</t>
  </si>
  <si>
    <t>CHAIR DUO WOOD WITH CUSION - RUBY</t>
  </si>
  <si>
    <t>FGSTLCOKT003</t>
  </si>
  <si>
    <t>COCKTAIL BAR STOOL - MOON</t>
  </si>
  <si>
    <t xml:space="preserve"> Round DINING TABLE</t>
  </si>
  <si>
    <t xml:space="preserve">SHOE RACK 4 LAYER  - BLACK </t>
  </si>
  <si>
    <t>FGCHRDUST001</t>
  </si>
  <si>
    <t>FGCHRDUST002</t>
  </si>
  <si>
    <t>CHAIR DUO STUDIO - PEPPERMINT</t>
  </si>
  <si>
    <t>FGCHRDUST003</t>
  </si>
  <si>
    <t>CHAIR DUO STUDIO - STONE</t>
  </si>
  <si>
    <t>FGCHRDUST004</t>
  </si>
  <si>
    <t>CHAIR DUO STUDIO - RUBY</t>
  </si>
  <si>
    <t>DDC04ES(6D)-BK</t>
  </si>
  <si>
    <t xml:space="preserve"> CHAIR BABY ROCKING(C)-TURQ BLUE/D.GREEN</t>
  </si>
  <si>
    <t>garmwns</t>
  </si>
  <si>
    <t>FGCHRDUWD001</t>
  </si>
  <si>
    <t xml:space="preserve">CAIR DUO WOOD - CARRARA </t>
  </si>
  <si>
    <t>FGCHRDUWD002</t>
  </si>
  <si>
    <t>CAIR DUO WOOD -  PEPPERMINT</t>
  </si>
  <si>
    <t>FGCHRDUWD003</t>
  </si>
  <si>
    <t>CAIR DUO WOOD - STONE</t>
  </si>
  <si>
    <t>FGCHRDUWD004</t>
  </si>
  <si>
    <t>CAIR DUO WOOD -  RUBY</t>
  </si>
  <si>
    <t>CHAIR ARMLESS GRAND PACIFIC - NEW WOODEN FINISH</t>
  </si>
  <si>
    <t>FGBBTBBCA001</t>
  </si>
  <si>
    <t>UA43U8000FR</t>
  </si>
  <si>
    <t>Samsung TV 43" 4K Upscaling Smart TV</t>
  </si>
  <si>
    <t>UA50U8000FR</t>
  </si>
  <si>
    <t>Samsung TV 50" 4K Smart TV</t>
  </si>
  <si>
    <t>UA55U8000FR</t>
  </si>
  <si>
    <t>Samsung TV 55" 4K Smart TV</t>
  </si>
  <si>
    <t>TABLE MOMO - WOODEN FINISH</t>
  </si>
  <si>
    <t>SFLU20LUD02</t>
  </si>
  <si>
    <t>CAN INSERT 20LT/25LT 2016 (8 CV) - CLEAR</t>
  </si>
  <si>
    <t>SFLU20LLID01</t>
  </si>
  <si>
    <t>CAN LID 20LT/25LT 2016 (8 CV) - RED</t>
  </si>
  <si>
    <t>SFLU20LBOT09</t>
  </si>
  <si>
    <t>CAN 20L SQUARE 20162016 - 975G - YELLOW</t>
  </si>
  <si>
    <t>FGTBL6STRC01</t>
  </si>
  <si>
    <t xml:space="preserve">TABLE 6 SEATER - COFFEE CREAM </t>
  </si>
  <si>
    <t>FGRCKSHOE003</t>
  </si>
  <si>
    <t>SHOE RACK BLACK COMPLETE</t>
  </si>
  <si>
    <t>FGCANWCLMN02</t>
  </si>
  <si>
    <t xml:space="preserve">CASE LITTLE MONSOON WATERING CAN ( 16 ) - NIGHT </t>
  </si>
  <si>
    <t>FGBRL20LS005</t>
  </si>
  <si>
    <t>BARREL 20L SUPERIOR ( C ) YELLOW</t>
  </si>
  <si>
    <t>FGBRL20LS021</t>
  </si>
  <si>
    <t>BARREL 20L SUPERIOR ( C ) DARK GREEN</t>
  </si>
  <si>
    <t>FGBRL45LT002</t>
  </si>
  <si>
    <t>BARREL 45LT 2012  ( C )  - RED</t>
  </si>
  <si>
    <t>FGBRL45LT004</t>
  </si>
  <si>
    <t>BARREL 45LT 2012  ( C )  - BLUE</t>
  </si>
  <si>
    <t>CASE STORAGE BOX 30LT ( 16 ) - GLASS/NEON &amp; GLASS/FO</t>
  </si>
  <si>
    <t>FGSBXCN04003</t>
  </si>
  <si>
    <t>CASE STORAGE BOX 40LT ( 10 ) - JUNGLE</t>
  </si>
  <si>
    <t>TABLE OVAL-STR-LEG©</t>
  </si>
  <si>
    <t>SPRING MATTRESS - SUPER FLEX - 72*60*07 - TG 0</t>
  </si>
  <si>
    <t>BSSF724807 - TG</t>
  </si>
  <si>
    <t>SPRING MATTRESS - SUPER FLEX - 72*48*07 - TG 1</t>
  </si>
  <si>
    <t>Vaucher</t>
  </si>
  <si>
    <t>CASE BUBBLES BABY BATHTUB 2025 ( 12 ) - G/B/OR</t>
  </si>
  <si>
    <t>KIDDIES DESK (C ) - YELLOW/PINK/BL</t>
  </si>
  <si>
    <t xml:space="preserve">CHAIR DUO STUDIO </t>
  </si>
  <si>
    <t>CHAIR BABY ARMLES 2011/1-BLUE</t>
  </si>
  <si>
    <t>KVAC010-BR</t>
  </si>
  <si>
    <t>Plastic - Kingstar - Varandah Chair - Brown</t>
  </si>
  <si>
    <t>PHC003-BK</t>
  </si>
  <si>
    <t>Plastic - Piyestra - Hybrid Chair -  Black</t>
  </si>
  <si>
    <t>PHC003-BL</t>
  </si>
  <si>
    <t>Plastic - Piyestra - Hybrid Chair -  Blue</t>
  </si>
  <si>
    <t>PHC003-RD</t>
  </si>
  <si>
    <t>Plastic - Piyestra - Hybrid Chair -  Red</t>
  </si>
  <si>
    <t>Puliyankulam</t>
  </si>
  <si>
    <t>DKR01-PI</t>
  </si>
  <si>
    <t>PKWB005</t>
  </si>
  <si>
    <t>2 DOOR WARDROBE COPBOARD</t>
  </si>
  <si>
    <t>IMW251BL</t>
  </si>
  <si>
    <t>Innovex Microwave Oven (black) 25 LTR 1000W</t>
  </si>
  <si>
    <t>Innovex Rice Cooker (Blue) - 1.8 Ltr</t>
  </si>
  <si>
    <t>WD12DG5B158</t>
  </si>
  <si>
    <t>Samsung Wash Machine (Front Loading) 12kg</t>
  </si>
  <si>
    <t>Innovex Electric Oven - 46Ltr 1800W</t>
  </si>
  <si>
    <t>IWFIN01</t>
  </si>
  <si>
    <t>INVOVEX - WALL FAN 26" 160W</t>
  </si>
  <si>
    <t>ISFIN02</t>
  </si>
  <si>
    <t>INVOVEX - INDUSTRIAL FAN 30" 3 Speed</t>
  </si>
  <si>
    <t>IAF001</t>
  </si>
  <si>
    <t>Innovex Air Fryer - 4 Ltr 1350W</t>
  </si>
  <si>
    <t>IAF002</t>
  </si>
  <si>
    <t>Innovex Air Fryer - 5 Ltr 1500W</t>
  </si>
  <si>
    <t>IEKDL03</t>
  </si>
  <si>
    <t>Innovex Electric Kettle - 1000W 800ml</t>
  </si>
  <si>
    <t>IEKDL05</t>
  </si>
  <si>
    <t>Innovex Electric Kettle - 1500W 1.3L</t>
  </si>
  <si>
    <t>IMG014</t>
  </si>
  <si>
    <t>Innovex Mixer Grinder - 3 Jar, 750W,350ml,1000</t>
  </si>
  <si>
    <t>RT40H28WNVQ/G</t>
  </si>
  <si>
    <t>Samsung Refrigerator (No Frost Inverter) 253 Ltr</t>
  </si>
  <si>
    <t>IRC189</t>
  </si>
  <si>
    <t>CASE OV BIN 5LT (16) - PYTHON &amp; MOON   /   WARM DRAY</t>
  </si>
  <si>
    <t>FGCHRARISF02</t>
  </si>
  <si>
    <t>FGCHRVISN087</t>
  </si>
  <si>
    <t>CHAIR VISION - 26 BLACK - PHX 02</t>
  </si>
  <si>
    <t>Jaffna Farm</t>
  </si>
  <si>
    <t>767 (20l )</t>
  </si>
  <si>
    <t>Power Spryer</t>
  </si>
  <si>
    <t>Navatkuli</t>
  </si>
  <si>
    <t>TH-43PX740N</t>
  </si>
  <si>
    <t>Panasonic LED TV 43", 4K, Smart TV, 2GB RAM</t>
  </si>
  <si>
    <t>RIGA-1400 WHITE</t>
  </si>
  <si>
    <t>HAVELLS CEILLING FAN 1400MM</t>
  </si>
  <si>
    <t>RIGA-1400 IVORY</t>
  </si>
  <si>
    <t>RIGA-1400 BROWN</t>
  </si>
  <si>
    <t>RIGA-1400 SMOKE BROWN</t>
  </si>
  <si>
    <t>RIGA-1400 BLACK</t>
  </si>
  <si>
    <t>PLATINA WALL-400</t>
  </si>
  <si>
    <t>HAVELLS WALL FAN 400MM</t>
  </si>
  <si>
    <t>PLATINA REMOTE-400</t>
  </si>
  <si>
    <t>HAVELLS WALL FAN REMOTE- 400MM</t>
  </si>
  <si>
    <t>VENTIL AIR DSP- 230(S)</t>
  </si>
  <si>
    <t>HAVELLS AIR VENTILATION FAN STEEL - 9''</t>
  </si>
  <si>
    <t>VENTIL AIR DSP- 300(S)</t>
  </si>
  <si>
    <t>HAVELLS AIR VENTILATION FAN STEEL - 12''</t>
  </si>
  <si>
    <t>T FORCE EX- 380(S)</t>
  </si>
  <si>
    <t>HAVELLSA HEAVY DUTY AIR VENTILATION FAN- 15''</t>
  </si>
  <si>
    <t>T FORCE NEO- 450(S)</t>
  </si>
  <si>
    <t>HAVELLS HEAVY DUTY AIR VENTILATION FAN- 18'' -1PHASE</t>
  </si>
  <si>
    <t>T FORCE NEO- 600</t>
  </si>
  <si>
    <t>HAVELLS HEAVY DUTY AIR VETILATION FAN- 24'' WITH MOTOR</t>
  </si>
  <si>
    <t>VENTIL AIR DX- 150(P)</t>
  </si>
  <si>
    <t>HAVELLS AIR VENTILATION FAN PLASTIC- 6''</t>
  </si>
  <si>
    <t>VENTIL AIR DX- 200(P)</t>
  </si>
  <si>
    <t>HAVELLS AIR VENTILATION FAN PLASTIC- 8''</t>
  </si>
  <si>
    <t>VENTIL AIR DX- 250(P)</t>
  </si>
  <si>
    <t>HAVELLS AIR VENTILATION FAN PLASTIC- 10''</t>
  </si>
  <si>
    <t>FESTIVA PRIME-WHITE GOLD</t>
  </si>
  <si>
    <t>HAVELLS DECORATIVE CEILLING FAN 1400MM</t>
  </si>
  <si>
    <t>FESTIVA PRIME-BROWN GOLD</t>
  </si>
  <si>
    <t>FESTIVA PRIME-ROSE GOLD</t>
  </si>
  <si>
    <t>FESTIVA PRIME-DUSK CHROME</t>
  </si>
  <si>
    <t>FESTIVA PRIME-BEIGE CHROME</t>
  </si>
  <si>
    <t>LPQP-12DLED</t>
  </si>
  <si>
    <t>LIPER LED BULB 12W</t>
  </si>
  <si>
    <t>LPQP-15DLED</t>
  </si>
  <si>
    <t>LIPER LED BULB 15W</t>
  </si>
  <si>
    <t>LPQP-18DLED</t>
  </si>
  <si>
    <t>LIPER LED BULB 18W</t>
  </si>
  <si>
    <t>LPQP-20E01</t>
  </si>
  <si>
    <t>LIPER LED BULB HP 20W</t>
  </si>
  <si>
    <t>LPQP-30E01</t>
  </si>
  <si>
    <t>LIPER LED HP LAMP 30W</t>
  </si>
  <si>
    <t>LPQP-40E01</t>
  </si>
  <si>
    <t>LIPER LED BULP HP 40W</t>
  </si>
  <si>
    <t>LPQP-50E01</t>
  </si>
  <si>
    <t>LIPER LED HP LAMP 50W</t>
  </si>
  <si>
    <t>LPSTL-100D01</t>
  </si>
  <si>
    <t>LIPER LED SOLAR STREET LIGHT 100W</t>
  </si>
  <si>
    <t>LPSTL-200D01</t>
  </si>
  <si>
    <t>LIPER LED SOLAR STREET LIGHT 200W</t>
  </si>
  <si>
    <t>LPFL-200BS01</t>
  </si>
  <si>
    <t>LIPER FLOOD LIGHT 200W</t>
  </si>
  <si>
    <t>LPSTL-100ES01</t>
  </si>
  <si>
    <t>LIPER LED SOLAR STREET LIGHT 100W  (PLASTIC BODY)</t>
  </si>
  <si>
    <t>LPSTL-200ES01</t>
  </si>
  <si>
    <t>LIPER LED SOLAR STREET LIGHT 200W  (PLASTIC BODY)</t>
  </si>
  <si>
    <t>LPSTL-300ES01</t>
  </si>
  <si>
    <t>LIPER LED SOLAR STREET LIGHT 300W  (PLASTIC BODY)</t>
  </si>
  <si>
    <t>LPSTL-400ES01</t>
  </si>
  <si>
    <t>LIPER LED SOLAR STREET LIGHT 400W  (PLASTIC BODY)</t>
  </si>
  <si>
    <t>REB-031</t>
  </si>
  <si>
    <t>RANGE ELECTRIC BLENDER 1.7L</t>
  </si>
  <si>
    <t>IMG-001</t>
  </si>
  <si>
    <t>ION MIXER GRINDER 550W</t>
  </si>
  <si>
    <t>DHX9</t>
  </si>
  <si>
    <t>BAJAJ HEAVY IRON- 1000W (2YEARS)</t>
  </si>
  <si>
    <t>TMH20</t>
  </si>
  <si>
    <t>BAJAJ AIR COOLER TOWER 20L</t>
  </si>
  <si>
    <t>FM-1209K</t>
  </si>
  <si>
    <t>JINLING AIR CURTAIN- 36''</t>
  </si>
  <si>
    <t>CSM-698</t>
  </si>
  <si>
    <t>STAND MIXER WITH BOUL</t>
  </si>
  <si>
    <t>TVKAN32F10</t>
  </si>
  <si>
    <t>KANVOX LED TV 32''</t>
  </si>
  <si>
    <t>TVKAN43F10</t>
  </si>
  <si>
    <t>KANVOX LED TV 43''</t>
  </si>
  <si>
    <t>KHS-55PH</t>
  </si>
  <si>
    <t>KANVOX HOT WATER SHOWER 5.5KW+P</t>
  </si>
  <si>
    <t>WMKAN11</t>
  </si>
  <si>
    <t>KANVOX 11KG WASHING MACHINE</t>
  </si>
  <si>
    <t>KANVOX MICRO WAVE OVEN 20L</t>
  </si>
  <si>
    <t>MM030LAP</t>
  </si>
  <si>
    <t>KANVOX MICRO WAVE OVEN 30L</t>
  </si>
  <si>
    <t>SPEAKER HB 110</t>
  </si>
  <si>
    <t>HANVOX HYPER BOOM 110</t>
  </si>
  <si>
    <t>SPEAKER HB 230</t>
  </si>
  <si>
    <t>KANVOX HYPER BOOM 230</t>
  </si>
  <si>
    <t>SPEAKER HB 400</t>
  </si>
  <si>
    <t>KANVOX HYPER BOOM 400</t>
  </si>
  <si>
    <t>SPEAKER HB 900</t>
  </si>
  <si>
    <t>KANVOX HYPER BOOM 900</t>
  </si>
  <si>
    <t>TVKAN55UHD</t>
  </si>
  <si>
    <t>KANVOX SMART LED TV</t>
  </si>
  <si>
    <t>HSM-16LA</t>
  </si>
  <si>
    <t>KANRICH AQUA WATER FILTER</t>
  </si>
  <si>
    <t>YT 866 AP-6</t>
  </si>
  <si>
    <t>TRICYCLE</t>
  </si>
  <si>
    <t>XAF 102 AP-1</t>
  </si>
  <si>
    <t>YT 668 AP-3</t>
  </si>
  <si>
    <t>TRICYCLE  (2PCS MISSING)</t>
  </si>
  <si>
    <t>YST 568 AP-7</t>
  </si>
  <si>
    <t>ISF002</t>
  </si>
  <si>
    <t>STAND FAN</t>
  </si>
  <si>
    <t>Nelukkulam</t>
  </si>
  <si>
    <t>SHIELD-45</t>
  </si>
  <si>
    <t>BAJAJ AIR COOLER TANK 45L</t>
  </si>
  <si>
    <t>TMH35</t>
  </si>
  <si>
    <t>BAJAJ AIR COOLER TOWER 35L</t>
  </si>
  <si>
    <t>LMG WATER DISPENSER WITH COMPRESSOR</t>
  </si>
  <si>
    <t>VISTA TABLE WATER DISPENSER</t>
  </si>
  <si>
    <t>FGCUPGC00003</t>
  </si>
  <si>
    <t>CUPBOARD GRID CLOSET - CREAM</t>
  </si>
  <si>
    <t>FGFLOLGP0104</t>
  </si>
  <si>
    <t>FLO L PACK 01 - WOOD</t>
  </si>
  <si>
    <t>FGFLOLGP0201</t>
  </si>
  <si>
    <t>FLO PACK 02 - NIGHT</t>
  </si>
  <si>
    <t>FGFLOLGP0203</t>
  </si>
  <si>
    <t>FLO L PACK 02 - FOG</t>
  </si>
  <si>
    <t>FGFLOLGP0204</t>
  </si>
  <si>
    <t>FLO L PACK 02 - WOOD</t>
  </si>
  <si>
    <t>FGFLOLGP0405</t>
  </si>
  <si>
    <t>FLO L PACK 04 - CHILLI</t>
  </si>
  <si>
    <t>FGFLOLGP0501</t>
  </si>
  <si>
    <t>FLO L PACK 05 - NIGHT</t>
  </si>
  <si>
    <t>FGFLOLGP0502</t>
  </si>
  <si>
    <t>FLO L PACK 05 - SNOW</t>
  </si>
  <si>
    <t>FGFLOLGP0503</t>
  </si>
  <si>
    <t>FLO L PACK 05 - FOG</t>
  </si>
  <si>
    <t>FGFLOLGP0504</t>
  </si>
  <si>
    <t>FLO L PACK 05 - WOOD</t>
  </si>
  <si>
    <t>FGFLOLGP0506</t>
  </si>
  <si>
    <t>FLO L PACK 05 - GRASS</t>
  </si>
  <si>
    <t>FGFLOLGP0605</t>
  </si>
  <si>
    <t>FLO L PACK 06 - WOOD</t>
  </si>
  <si>
    <t>FGMLKBOTL06</t>
  </si>
  <si>
    <t>CAN 1 LT MILK CLEAR SCREW CV #01 TWIN CV 2015</t>
  </si>
  <si>
    <t>FGLIDMILK002</t>
  </si>
  <si>
    <t>LID - 1LT MILK BOTTLE BLUE SCREW 8V 2015</t>
  </si>
  <si>
    <t>SHIELD-56</t>
  </si>
  <si>
    <t>SHIELD-74</t>
  </si>
  <si>
    <t>BAJAJ AIR COOLER TANK 56L</t>
  </si>
  <si>
    <t>BAJAJ AIR COOLER TANK 74L</t>
  </si>
  <si>
    <t xml:space="preserve">DBL708 </t>
  </si>
  <si>
    <t>POWER Spryer 16L</t>
  </si>
  <si>
    <t>KM020LAP</t>
  </si>
  <si>
    <t>THOODDAKKANY</t>
  </si>
  <si>
    <t>A.POLICE</t>
  </si>
  <si>
    <t>IAC129S/NI/s</t>
  </si>
  <si>
    <t>Innovex mixer Grinder - 3jar,750w,350ml,1000</t>
  </si>
  <si>
    <t>Innovex mixer Grinder - 3jar,550w,350ml,1001</t>
  </si>
  <si>
    <t>Innovex mixer Grinder - 3jar,550w,20000Rpm</t>
  </si>
  <si>
    <t>Panasonic Mixer Grinder 3 jar</t>
  </si>
  <si>
    <t>JCK-F6</t>
  </si>
  <si>
    <t>Innovex Semi WM-Wash 6.5kg (Maroon)</t>
  </si>
  <si>
    <t>IEK011</t>
  </si>
  <si>
    <t>IEKDL04</t>
  </si>
  <si>
    <t>Innovex Electric Kettle - 1000W 1 L</t>
  </si>
  <si>
    <t>Innovex Electric Kettle - 1500Wl 1.3L</t>
  </si>
  <si>
    <t>Innovex Rice Cookers (Florid) - 1.5 Ltr</t>
  </si>
  <si>
    <t>Innovex Rice Cookers (Florid) - 1.8 Ltr</t>
  </si>
  <si>
    <t>Innovex Rice Cookers (Florid) 2.2Ltr</t>
  </si>
  <si>
    <t>IRC289FLD</t>
  </si>
  <si>
    <t>Innovex Rice Cookers (Florid) - 2.8Ltr</t>
  </si>
  <si>
    <t>JCK-A2C-C</t>
  </si>
  <si>
    <t>IRC229FLD/BR</t>
  </si>
  <si>
    <t>IRC189FLD/BR</t>
  </si>
  <si>
    <t>IRC159FLD/BR</t>
  </si>
  <si>
    <t>RMG-027</t>
  </si>
  <si>
    <t>RANGE MIXER GRINDER 650W-JAR</t>
  </si>
  <si>
    <t>VIRTUE -1200-3J</t>
  </si>
  <si>
    <t>BAJAJNINANJA VIRTUE 1200W 3 JAR</t>
  </si>
  <si>
    <t>POPULAR-1000</t>
  </si>
  <si>
    <t>BAJAJ DRY IRON 1000W (2YRS)</t>
  </si>
  <si>
    <t>KKSD006</t>
  </si>
  <si>
    <t>KD-Kingstar - study Desk (120 * 54    *134 )cm</t>
  </si>
  <si>
    <t>KKSD005</t>
  </si>
  <si>
    <t>KD-Kingstar - study Desk ( 90* 45    *133 )cm</t>
  </si>
  <si>
    <t>PVAC011-HG</t>
  </si>
  <si>
    <t>Plastic - Piyestra - Verandah Chair - Honda Green</t>
  </si>
  <si>
    <t>Mulliyavalai Steore</t>
  </si>
  <si>
    <t>IDI007</t>
  </si>
  <si>
    <t>Innovex Heavy Weight Dry Iron 1200W</t>
  </si>
  <si>
    <t>ISI010</t>
  </si>
  <si>
    <t>Innovex Steam and Spary Iron 2400W</t>
  </si>
  <si>
    <t>IAF003</t>
  </si>
  <si>
    <t>IBL006</t>
  </si>
  <si>
    <t>Innovex High Speed Blenderl- 1.8L , 1500W</t>
  </si>
  <si>
    <t>Innovex Electric Oven - 32Ltr 1500W</t>
  </si>
  <si>
    <t>Innovex Electric Oven - 36Ltr 1500W</t>
  </si>
  <si>
    <t>Innovex Wet &amp; Dry Vacuum Cleaner 1200W</t>
  </si>
  <si>
    <t>Preethi Mixer Grinder -Zodiac</t>
  </si>
  <si>
    <t>BSSF753607-TG</t>
  </si>
  <si>
    <t xml:space="preserve">Spring Mattress - Super Flex - 75"*36"*07 -TG </t>
  </si>
  <si>
    <t>CASE ARI KIDS SOFA ( 22 ) - BLUE</t>
  </si>
  <si>
    <t>CASE ARI KIDS SOFA ( 22 ) - L,G</t>
  </si>
  <si>
    <t>CASE ARI KIDS SOFA ( 22 )  D.G</t>
  </si>
  <si>
    <t>ARI KIDS SOFA - BLUE</t>
  </si>
  <si>
    <t>FGCHRPFI038</t>
  </si>
  <si>
    <t xml:space="preserve">CHAIR M/B PACIFIC 222 2012 PHX 01 - R/W </t>
  </si>
  <si>
    <t>FGTBLCFRD019</t>
  </si>
  <si>
    <t>TABLE COFFEE ROUND 2012 - NEW ROSE WOOD</t>
  </si>
  <si>
    <t>FGTBLCFRD020</t>
  </si>
  <si>
    <t>TABLE COFFEE ROUND 2012 - NEW WOODEN FINISH</t>
  </si>
  <si>
    <t>FGTBLMOM0003</t>
  </si>
  <si>
    <t>BASIN 18LT SUPERIOR - LT.GREEN NEW</t>
  </si>
  <si>
    <t>FGBAS20LT012</t>
  </si>
  <si>
    <t>BASIN 20LT SUPERIOR - LT.GREEN NEW</t>
  </si>
  <si>
    <t>BASIN 8180 SUPERIOR 2018 - LT.GREEN NEW</t>
  </si>
  <si>
    <t>FGBSKCOBU004</t>
  </si>
  <si>
    <t>LAUNDRY BASKET BUTTON - LAVENDER [SR]</t>
  </si>
  <si>
    <t>FGBSKCOBUL03</t>
  </si>
  <si>
    <t>LAUNDRY BASKET BUTTON L - L.GREEN</t>
  </si>
  <si>
    <t>FGFDCROUC001</t>
  </si>
  <si>
    <t>CASE FOOD COVER ROUND 2025 (12) MARBLE GREY</t>
  </si>
  <si>
    <t>CHAIR BABY ROCKING(C)-TURQ BLUE/D.GREEN</t>
  </si>
  <si>
    <t>CASE YUMMI 1.2L(12) - CLEAR</t>
  </si>
  <si>
    <t>CASE PEDAL BIN DELUX 18L (7) - SILVER/GREEN</t>
  </si>
  <si>
    <t>FGCSB0103001</t>
  </si>
  <si>
    <t>CASE STORAGE BOX 10LT (30) - GLASS/NEON &amp; GLASS/FO</t>
  </si>
  <si>
    <t>FGCSB0301601</t>
  </si>
  <si>
    <t>CASE STORAGE BOX 30LT (16) - GLASS/NEON &amp; GLASS/FO</t>
  </si>
  <si>
    <t>DRAWER SET-MED 4PC NEW - MIXED</t>
  </si>
  <si>
    <t>SHOE RACK 4 LAYER - BLACK</t>
  </si>
  <si>
    <t>FGRCKVGT4001</t>
  </si>
  <si>
    <t>VEGETABLE RACK S -2013 4SET(C) - BITTER CHOCLATE</t>
  </si>
  <si>
    <t>FGBAS45LT027</t>
  </si>
  <si>
    <t>FGBAS60LT028</t>
  </si>
  <si>
    <t>BASIN 60LT SUPERIOR -RECYCLE BLACK</t>
  </si>
  <si>
    <t>FGBRL50LN036</t>
  </si>
  <si>
    <t>BARREL 50LT NEW 2016(RECYCLE)-BLACK</t>
  </si>
  <si>
    <t>FGRCKPLTR021</t>
  </si>
  <si>
    <t>PLATE RACK - LT.GREEN</t>
  </si>
  <si>
    <t>Kingster - Ecoflex 72*36*4</t>
  </si>
  <si>
    <t>N/I-Samsung Air Conditioner 24000BTU Inverter</t>
  </si>
  <si>
    <t>PKWU017-M37/</t>
  </si>
  <si>
    <t>KD- Piyestra- Wall Unit (206cm x 40cm x 191cm)</t>
  </si>
  <si>
    <t>Spring Mattress - Super Flex -75"x36"x07" - TG 0</t>
  </si>
  <si>
    <t>KCDQ536</t>
  </si>
  <si>
    <t>Mattress - Kingstar - 75"x36"x05" - Cool Foam - DL</t>
  </si>
  <si>
    <t>KCDQ272</t>
  </si>
  <si>
    <t>Mattress - Kingstar - 72"x72"x05" - Cool Foam - DL</t>
  </si>
  <si>
    <t>KCDQ872</t>
  </si>
  <si>
    <t>Mattress - Kingstar - 78"x72"x05" - Cool Foam - DL</t>
  </si>
  <si>
    <t>Mattress - Kingstar - 72"x60"x05" - Cool Foam - DL</t>
  </si>
  <si>
    <t>KD- Kingstar- Wardrobe 2 Door- (83 x43.5 x183.)</t>
  </si>
  <si>
    <t>Mattress - Kingstar - 72"x36"x05" - Cool Foam - DL</t>
  </si>
  <si>
    <t>Mattress - Kingstar - 72"x48"x05" - Cool Foam - DL</t>
  </si>
  <si>
    <t>Mattress - Piyestra - 72"x36"x05" - Hybrid - Q/C</t>
  </si>
  <si>
    <t>KKBP018-M37</t>
  </si>
  <si>
    <t>KD- Kingstar- Bed- 72" x 48" - (182 x122)cm -M3</t>
  </si>
  <si>
    <t>Spring Mattress - Super Flex -72"x60"x07" - TG 0</t>
  </si>
  <si>
    <t>BSSF754807-TG</t>
  </si>
  <si>
    <t>Spring Mattress - Super Flex -75"x48"x07" - TG 0</t>
  </si>
  <si>
    <t>BSSF756007-TG</t>
  </si>
  <si>
    <t>Spring Mattress - Super Flex -75"x60"x07" - TG 0</t>
  </si>
  <si>
    <t>BSP723608-TR 0</t>
  </si>
  <si>
    <t>Spring Mattress - 72"x36"x08" - TR 01</t>
  </si>
  <si>
    <t>BSP724808-TR 0</t>
  </si>
  <si>
    <t>Spring Mattress - 72"x48"x08" - TR 01</t>
  </si>
  <si>
    <t>BSSU753610-TI</t>
  </si>
  <si>
    <t>Spring Mattress - Supreme - 75"x36" - TI 03</t>
  </si>
  <si>
    <t>PDQ260</t>
  </si>
  <si>
    <t>Mattress -Piyestra -72"x60"x05" -D/L -Q/C</t>
  </si>
  <si>
    <t>PDQ872</t>
  </si>
  <si>
    <t>Mattress -Piyestra -78"x72"x05" -D/L -Q/C</t>
  </si>
  <si>
    <t>PDQ560</t>
  </si>
  <si>
    <t>Mattress -Piyestra -75"x60"x05" -D/L -Q/C</t>
  </si>
  <si>
    <t>PDQ248</t>
  </si>
  <si>
    <t>Mattress -Piyestra -72"x48"x05" -D/L -Q/C</t>
  </si>
  <si>
    <t>PDQ236</t>
  </si>
  <si>
    <t>Mattress -Piyestra -72"x36"x05" -D/L -Q/C</t>
  </si>
  <si>
    <t>PDQ272</t>
  </si>
  <si>
    <t>Mattress -Piyestra -72"x72"x05" -D/L -Q/C</t>
  </si>
  <si>
    <t>KD- Kingstar- Study Desk- (90 x45 x133)cm -M4</t>
  </si>
  <si>
    <t>KD- Piyestra- Dressing Table Ammy (41x90.5x18)</t>
  </si>
  <si>
    <t>KD- Piyestra- Dressing Table Camilia (60x48x17)</t>
  </si>
  <si>
    <t>KKBP019-M37</t>
  </si>
  <si>
    <t>KD- Kingstar- Bed- 72" x 36" - (182 x 91)cm -M37</t>
  </si>
  <si>
    <t>Mattress -Piyestra -72"x48"x05" -Hybrid -Q/C</t>
  </si>
  <si>
    <t>PHQ260</t>
  </si>
  <si>
    <t>Mattress -Piyestra -72"x60"x05" -Hybrid -Q/C</t>
  </si>
  <si>
    <t>PHQ560</t>
  </si>
  <si>
    <t>Mattress -Piyestra -75"x60"x05" -Hybrid -Q/C</t>
  </si>
  <si>
    <t>PHQ548</t>
  </si>
  <si>
    <t>Mattress -Piyestra -75"x48"x05" -Hybrid -Q/C</t>
  </si>
  <si>
    <t>PHQ872</t>
  </si>
  <si>
    <t>Mattress -Piyestra -78"x72"x05" -Hybrid -Q/C</t>
  </si>
  <si>
    <t>Ex Chair-Low Back-Economy-Gas Lift-Rexine-Bl</t>
  </si>
  <si>
    <t>ECH001-BL</t>
  </si>
  <si>
    <t>Ex Chair-High Back-Economy-Gas Lift-Blue</t>
  </si>
  <si>
    <t>KKWB015-L03-</t>
  </si>
  <si>
    <t>KD- Kingstar- Wardrobe 3D 3L &amp; 1M- (121 x43 x</t>
  </si>
  <si>
    <t>KD- Kingstar- Bed- 75" x 48" - (190 x122)cm -M3NGS</t>
  </si>
  <si>
    <t>KEDL236</t>
  </si>
  <si>
    <t>Mattress -Kingstar -72"x36"x04" -Eco Flex -D/L</t>
  </si>
  <si>
    <t>KEDL248</t>
  </si>
  <si>
    <t>Mattress -Kingstar -72"x48"x04" -Eco Flex -D/L</t>
  </si>
  <si>
    <t>KEDL260</t>
  </si>
  <si>
    <t>Mattress -Kingstar -72"x60"x04" -Eco Flex -D/L</t>
  </si>
  <si>
    <t>KEDL872</t>
  </si>
  <si>
    <t>Mattress -Kingstar -78"x72"x04" -Eco Flex -D/L</t>
  </si>
  <si>
    <t>SR-Y22FGJ</t>
  </si>
  <si>
    <t>Panasonic Rice Cooker 2.2Ltr</t>
  </si>
  <si>
    <t>SR-942D</t>
  </si>
  <si>
    <t>Panasonic Rice Cooker 4.2Ltr</t>
  </si>
  <si>
    <t>Innovex Hand Mixer with Bowl</t>
  </si>
  <si>
    <t>ITVE3208</t>
  </si>
  <si>
    <t>INNOVEX-LED HD TV-32"</t>
  </si>
  <si>
    <t>INNOVEX-LED TV 4K Google Led - 43"</t>
  </si>
  <si>
    <t>IDR240-BLL</t>
  </si>
  <si>
    <t>Innovex Direct cool Refrigerator 240Ltr(Blue Lily)</t>
  </si>
  <si>
    <t>Innovex Fully W/M- Wash 6KG (Off White)</t>
  </si>
  <si>
    <t>IBC320DH</t>
  </si>
  <si>
    <t>Innovex Bottle Cooler 320Ltr</t>
  </si>
  <si>
    <t>IHA001</t>
  </si>
  <si>
    <t>INNOVEX Home Audio, USB, SD, AUX, Bluetooth</t>
  </si>
  <si>
    <t>IDI004S</t>
  </si>
  <si>
    <t>Innovex Dry Spray Iron 1200W</t>
  </si>
  <si>
    <t>ISI009</t>
  </si>
  <si>
    <t>Innovex Steam and Spray Iron 2200W</t>
  </si>
  <si>
    <t>INNOVEX - WALL FAN 16" Remote</t>
  </si>
  <si>
    <t>INNOVEX - Ceiling Fan 56"</t>
  </si>
  <si>
    <t>IPW004</t>
  </si>
  <si>
    <t>Innovex Electric Pressure Washer-Industrial 170</t>
  </si>
  <si>
    <t>IMW201</t>
  </si>
  <si>
    <t>Innovex Microwave Oven 20LTR|1200W</t>
  </si>
  <si>
    <t>RT34DG5A2BS8I</t>
  </si>
  <si>
    <t>Samsung Refrigerator|No Frost with WIFI|330Lt</t>
  </si>
  <si>
    <t>Samsung TV 55"|4K Smart TV</t>
  </si>
  <si>
    <t>WA80F19B9B</t>
  </si>
  <si>
    <t>Samsung Wash Machine|Top Loading|19Kg|Full</t>
  </si>
  <si>
    <t>RT41DG6A2BS8</t>
  </si>
  <si>
    <t>Samsung Refrigerator|No Frost Inverter|396Lt</t>
  </si>
  <si>
    <t>RT38DG5A2BS8I</t>
  </si>
  <si>
    <t>Samsung Refrigerator|No Frost Inverter|350Lt</t>
  </si>
  <si>
    <t>MC28H5013AS/</t>
  </si>
  <si>
    <t>Samsung Microwave Oven|28Ltr|Convection|SLI</t>
  </si>
  <si>
    <t>MG23K3513GK/</t>
  </si>
  <si>
    <t>Samsung Microwave Oven|23Ltr|Grill|Auto Cook|</t>
  </si>
  <si>
    <t>SPEAKER HB 010</t>
  </si>
  <si>
    <t>HANVOX HYPER BOOM 010</t>
  </si>
  <si>
    <t>KD- Piyestra- Bed- Camilia (75"x48") -M31</t>
  </si>
  <si>
    <t>PGNQ236</t>
  </si>
  <si>
    <t>Mattress -Piyestra -72"x36"x06" -New Grand -D/L</t>
  </si>
  <si>
    <t>Mattress -Piyestra -72"x48"x06" -New Grand -D/L</t>
  </si>
  <si>
    <t>Mattress -Piyestra -72"x60"x06" -New Grand -D/L</t>
  </si>
  <si>
    <t>PGNQ560</t>
  </si>
  <si>
    <t>Mattress -Piyestra -75"x60"x06" -New Grand -D/L</t>
  </si>
  <si>
    <t>PRWA003-MB</t>
  </si>
  <si>
    <t>Plastic -Piyestra -Rattan Chair-Mat Brown</t>
  </si>
  <si>
    <t>PSDL010-L6757</t>
  </si>
  <si>
    <t>Sofa-Delon-Full Set (3+1+1)-L6757 08-ff</t>
  </si>
  <si>
    <t>poonakary steore</t>
  </si>
  <si>
    <t>BASIN 45LT SUPERIOR-RECYCLE BLACK</t>
  </si>
  <si>
    <t>Innovex Direct Cool Ref 180Lts With Look (Blue /MR )</t>
  </si>
  <si>
    <t>IVCW001JI</t>
  </si>
  <si>
    <t>2*</t>
  </si>
  <si>
    <t>CS/CU-EU18AK</t>
  </si>
  <si>
    <t xml:space="preserve">N/I-Airconditioner 18000BTU invert split-R32 Gas </t>
  </si>
  <si>
    <t>Vishvamadu</t>
  </si>
  <si>
    <t>FGCHRCSM0216</t>
  </si>
  <si>
    <t>CANE SOFA - MODULE 02 SOFT - GRAPHITE / DILI</t>
  </si>
  <si>
    <t>FGCHRCSM0316</t>
  </si>
  <si>
    <t>CANE SOFA - MODULE 03 SOFT - GRAPHITE / DILI</t>
  </si>
  <si>
    <t>FGCHRCSM0416</t>
  </si>
  <si>
    <t>CANE SOFA - MODULE 04 SOFT - GRAPHITE / DILI</t>
  </si>
  <si>
    <t>FGCHRCSM0516</t>
  </si>
  <si>
    <t>CANE SOFA - MODULE 05 SOFT - GRAPHITE / DILI</t>
  </si>
  <si>
    <t>FGCHRCSM0315</t>
  </si>
  <si>
    <t>CANE SOFA - MODULE 03 SOFT - GRAPHITE / INDIGO</t>
  </si>
  <si>
    <t>FGCHRCSM0215</t>
  </si>
  <si>
    <t>CANE SOFA - MODULE 02 SOFT - GRAPHITE / INDIGO</t>
  </si>
  <si>
    <t>FGCHRCSM0115</t>
  </si>
  <si>
    <t>CANE SOFA - MODULE 01 SOFT - GRAPHITE / INDIGO</t>
  </si>
  <si>
    <t>FGCHRCSM0306</t>
  </si>
  <si>
    <t>CANE SOFA - MODULE 03 SOFT - GRAPHITE / BLAT</t>
  </si>
  <si>
    <t>FGCHRCSM0206</t>
  </si>
  <si>
    <t>CANE SOFA - MODULE 02 SOFT - GRAPHITE / BLAT</t>
  </si>
  <si>
    <t>FGCHRCSM0106</t>
  </si>
  <si>
    <t>CANE SOFA - MODULE 01 SOFT - GRAPHITE / BLAT</t>
  </si>
  <si>
    <t>FGCHRCSM0317</t>
  </si>
  <si>
    <t>CANE SOFA - MODULE 03 SOFT - GRAPHITE / CORSICA</t>
  </si>
  <si>
    <t>FGCHRCSM0217</t>
  </si>
  <si>
    <t>CANE SOFA - MODULE 02 SOFT - GRAPHITE / CORSICA</t>
  </si>
  <si>
    <t>FGCHRCSM0117</t>
  </si>
  <si>
    <t>CANE SOFA - MODULE 01 SOFT - GRAPHITE / CORSICA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</si>
</sst>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b/>
      <sz val="10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8"/>
      <color theme="0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22"/>
      <color theme="1"/>
      <name val="Times New Roman"/>
      <family val="1"/>
    </font>
    <font>
      <sz val="28"/>
      <color theme="1"/>
      <name val="Times New Roman"/>
      <family val="1"/>
    </font>
    <font>
      <sz val="28"/>
      <color theme="1"/>
      <name val="Calibri"/>
      <family val="2"/>
      <scheme val="minor"/>
    </font>
    <font>
      <sz val="36"/>
      <color theme="1"/>
      <name val="Times New Roman"/>
      <family val="1"/>
    </font>
    <font>
      <sz val="36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28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theme="4" tint="0.59999389629810485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8" tint="0.39997558519241921"/>
        <bgColor theme="4" tint="0.5999938962981048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theme="4" tint="0.59999389629810485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theme="4" tint="0.59999389629810485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theme="7" tint="0.59999389629810485"/>
        <bgColor theme="4" tint="0.59999389629810485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64A64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theme="4" tint="0.59999389629810485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4" tint="0.79998168889431442"/>
      </patternFill>
    </fill>
    <fill>
      <patternFill patternType="solid">
        <fgColor rgb="FF00FFCC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66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rgb="FF69AE2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7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0" fillId="0" borderId="0">
      <alignment vertical="center"/>
    </xf>
  </cellStyleXfs>
  <cellXfs count="2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19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  <xf numFmtId="0" fontId="6" fillId="0" borderId="5" xfId="0" applyFont="1" applyFill="1" applyBorder="1"/>
    <xf numFmtId="0" fontId="6" fillId="24" borderId="1" xfId="0" applyFont="1" applyFill="1" applyBorder="1"/>
    <xf numFmtId="0" fontId="6" fillId="0" borderId="2" xfId="0" applyFont="1" applyFill="1" applyBorder="1"/>
    <xf numFmtId="0" fontId="6" fillId="0" borderId="0" xfId="0" applyFont="1" applyFill="1" applyBorder="1"/>
    <xf numFmtId="0" fontId="7" fillId="0" borderId="1" xfId="0" applyFont="1" applyFill="1" applyBorder="1"/>
    <xf numFmtId="0" fontId="7" fillId="0" borderId="5" xfId="0" applyFont="1" applyFill="1" applyBorder="1"/>
    <xf numFmtId="0" fontId="7" fillId="0" borderId="1" xfId="0" applyFont="1" applyFill="1" applyBorder="1" applyAlignment="1">
      <alignment horizontal="center"/>
    </xf>
    <xf numFmtId="43" fontId="6" fillId="0" borderId="1" xfId="1" applyFont="1" applyFill="1" applyBorder="1"/>
    <xf numFmtId="0" fontId="6" fillId="0" borderId="1" xfId="0" applyFont="1" applyFill="1" applyBorder="1" applyAlignment="1">
      <alignment wrapText="1" readingOrder="1"/>
    </xf>
    <xf numFmtId="0" fontId="6" fillId="0" borderId="5" xfId="0" applyFont="1" applyFill="1" applyBorder="1" applyAlignment="1">
      <alignment wrapText="1" readingOrder="1"/>
    </xf>
    <xf numFmtId="0" fontId="7" fillId="0" borderId="1" xfId="0" applyFont="1" applyFill="1" applyBorder="1" applyAlignment="1">
      <alignment wrapText="1" readingOrder="1"/>
    </xf>
    <xf numFmtId="0" fontId="7" fillId="0" borderId="5" xfId="0" applyFont="1" applyFill="1" applyBorder="1" applyAlignment="1">
      <alignment wrapText="1" readingOrder="1"/>
    </xf>
    <xf numFmtId="0" fontId="6" fillId="0" borderId="4" xfId="0" applyFont="1" applyFill="1" applyBorder="1" applyAlignment="1">
      <alignment wrapText="1" readingOrder="1"/>
    </xf>
    <xf numFmtId="0" fontId="6" fillId="0" borderId="3" xfId="0" applyFont="1" applyFill="1" applyBorder="1" applyAlignment="1">
      <alignment wrapText="1" readingOrder="1"/>
    </xf>
    <xf numFmtId="0" fontId="6" fillId="0" borderId="6" xfId="0" applyFont="1" applyFill="1" applyBorder="1" applyAlignment="1">
      <alignment wrapText="1" readingOrder="1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10" fillId="19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1" fillId="0" borderId="0" xfId="0" applyFont="1"/>
    <xf numFmtId="0" fontId="12" fillId="2" borderId="1" xfId="0" applyFont="1" applyFill="1" applyBorder="1"/>
    <xf numFmtId="0" fontId="12" fillId="2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/>
    </xf>
    <xf numFmtId="0" fontId="12" fillId="2" borderId="5" xfId="0" applyFont="1" applyFill="1" applyBorder="1"/>
    <xf numFmtId="0" fontId="12" fillId="3" borderId="5" xfId="0" applyFont="1" applyFill="1" applyBorder="1"/>
    <xf numFmtId="0" fontId="12" fillId="4" borderId="5" xfId="0" applyFont="1" applyFill="1" applyBorder="1"/>
    <xf numFmtId="0" fontId="12" fillId="4" borderId="1" xfId="0" applyFont="1" applyFill="1" applyBorder="1" applyAlignment="1">
      <alignment horizontal="center"/>
    </xf>
    <xf numFmtId="0" fontId="12" fillId="5" borderId="5" xfId="0" applyFont="1" applyFill="1" applyBorder="1"/>
    <xf numFmtId="0" fontId="12" fillId="5" borderId="1" xfId="0" applyFont="1" applyFill="1" applyBorder="1" applyAlignment="1">
      <alignment horizontal="center"/>
    </xf>
    <xf numFmtId="0" fontId="12" fillId="3" borderId="2" xfId="0" applyFont="1" applyFill="1" applyBorder="1"/>
    <xf numFmtId="0" fontId="12" fillId="3" borderId="0" xfId="0" applyFont="1" applyFill="1" applyBorder="1"/>
    <xf numFmtId="0" fontId="12" fillId="6" borderId="5" xfId="0" applyFont="1" applyFill="1" applyBorder="1"/>
    <xf numFmtId="0" fontId="12" fillId="6" borderId="1" xfId="0" applyFont="1" applyFill="1" applyBorder="1" applyAlignment="1">
      <alignment horizontal="center"/>
    </xf>
    <xf numFmtId="0" fontId="11" fillId="6" borderId="1" xfId="0" applyFont="1" applyFill="1" applyBorder="1"/>
    <xf numFmtId="0" fontId="11" fillId="6" borderId="5" xfId="0" applyFont="1" applyFill="1" applyBorder="1"/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/>
    <xf numFmtId="0" fontId="12" fillId="7" borderId="5" xfId="0" applyFont="1" applyFill="1" applyBorder="1"/>
    <xf numFmtId="0" fontId="12" fillId="8" borderId="1" xfId="0" applyFont="1" applyFill="1" applyBorder="1"/>
    <xf numFmtId="0" fontId="12" fillId="8" borderId="5" xfId="0" applyFont="1" applyFill="1" applyBorder="1"/>
    <xf numFmtId="0" fontId="12" fillId="9" borderId="1" xfId="0" applyFont="1" applyFill="1" applyBorder="1" applyAlignment="1">
      <alignment wrapText="1" readingOrder="1"/>
    </xf>
    <xf numFmtId="0" fontId="12" fillId="9" borderId="5" xfId="0" applyFont="1" applyFill="1" applyBorder="1" applyAlignment="1">
      <alignment wrapText="1" readingOrder="1"/>
    </xf>
    <xf numFmtId="0" fontId="12" fillId="10" borderId="1" xfId="0" applyFont="1" applyFill="1" applyBorder="1"/>
    <xf numFmtId="0" fontId="12" fillId="11" borderId="5" xfId="0" applyFont="1" applyFill="1" applyBorder="1"/>
    <xf numFmtId="0" fontId="11" fillId="12" borderId="1" xfId="0" applyFont="1" applyFill="1" applyBorder="1" applyAlignment="1">
      <alignment wrapText="1" readingOrder="1"/>
    </xf>
    <xf numFmtId="0" fontId="11" fillId="12" borderId="5" xfId="0" applyFont="1" applyFill="1" applyBorder="1" applyAlignment="1">
      <alignment wrapText="1" readingOrder="1"/>
    </xf>
    <xf numFmtId="0" fontId="12" fillId="10" borderId="5" xfId="0" applyFont="1" applyFill="1" applyBorder="1" applyAlignment="1">
      <alignment wrapText="1" readingOrder="1"/>
    </xf>
    <xf numFmtId="0" fontId="12" fillId="10" borderId="1" xfId="0" applyFont="1" applyFill="1" applyBorder="1" applyAlignment="1">
      <alignment wrapText="1" readingOrder="1"/>
    </xf>
    <xf numFmtId="0" fontId="11" fillId="9" borderId="5" xfId="0" applyFont="1" applyFill="1" applyBorder="1"/>
    <xf numFmtId="0" fontId="11" fillId="9" borderId="1" xfId="0" applyFont="1" applyFill="1" applyBorder="1" applyAlignment="1">
      <alignment horizontal="center"/>
    </xf>
    <xf numFmtId="0" fontId="12" fillId="13" borderId="1" xfId="0" applyFont="1" applyFill="1" applyBorder="1"/>
    <xf numFmtId="0" fontId="12" fillId="13" borderId="5" xfId="0" applyFont="1" applyFill="1" applyBorder="1"/>
    <xf numFmtId="0" fontId="12" fillId="13" borderId="1" xfId="0" applyFont="1" applyFill="1" applyBorder="1" applyAlignment="1">
      <alignment horizontal="center"/>
    </xf>
    <xf numFmtId="0" fontId="12" fillId="20" borderId="1" xfId="0" applyFont="1" applyFill="1" applyBorder="1"/>
    <xf numFmtId="0" fontId="12" fillId="21" borderId="1" xfId="0" applyFont="1" applyFill="1" applyBorder="1"/>
    <xf numFmtId="0" fontId="11" fillId="22" borderId="1" xfId="0" applyFont="1" applyFill="1" applyBorder="1" applyAlignment="1">
      <alignment wrapText="1" readingOrder="1"/>
    </xf>
    <xf numFmtId="0" fontId="11" fillId="23" borderId="1" xfId="0" applyFont="1" applyFill="1" applyBorder="1" applyAlignment="1">
      <alignment wrapText="1" readingOrder="1"/>
    </xf>
    <xf numFmtId="0" fontId="11" fillId="23" borderId="1" xfId="0" applyFont="1" applyFill="1" applyBorder="1"/>
    <xf numFmtId="0" fontId="12" fillId="14" borderId="1" xfId="0" applyFont="1" applyFill="1" applyBorder="1"/>
    <xf numFmtId="0" fontId="11" fillId="17" borderId="1" xfId="0" applyFont="1" applyFill="1" applyBorder="1" applyAlignment="1">
      <alignment wrapText="1" readingOrder="1"/>
    </xf>
    <xf numFmtId="0" fontId="11" fillId="25" borderId="1" xfId="0" applyFont="1" applyFill="1" applyBorder="1" applyAlignment="1">
      <alignment wrapText="1" readingOrder="1"/>
    </xf>
    <xf numFmtId="0" fontId="11" fillId="17" borderId="7" xfId="0" applyFont="1" applyFill="1" applyBorder="1" applyAlignment="1">
      <alignment wrapText="1" readingOrder="1"/>
    </xf>
    <xf numFmtId="0" fontId="11" fillId="12" borderId="1" xfId="0" applyFont="1" applyFill="1" applyBorder="1"/>
    <xf numFmtId="0" fontId="11" fillId="26" borderId="1" xfId="0" applyFont="1" applyFill="1" applyBorder="1"/>
    <xf numFmtId="0" fontId="14" fillId="12" borderId="1" xfId="0" applyFont="1" applyFill="1" applyBorder="1"/>
    <xf numFmtId="0" fontId="11" fillId="27" borderId="1" xfId="0" applyFont="1" applyFill="1" applyBorder="1" applyAlignment="1">
      <alignment wrapText="1" readingOrder="1"/>
    </xf>
    <xf numFmtId="0" fontId="11" fillId="9" borderId="1" xfId="0" applyFont="1" applyFill="1" applyBorder="1" applyAlignment="1">
      <alignment wrapText="1" readingOrder="1"/>
    </xf>
    <xf numFmtId="0" fontId="11" fillId="9" borderId="1" xfId="0" applyFont="1" applyFill="1" applyBorder="1" applyAlignment="1">
      <alignment horizontal="right"/>
    </xf>
    <xf numFmtId="0" fontId="11" fillId="9" borderId="1" xfId="0" applyFont="1" applyFill="1" applyBorder="1" applyAlignment="1">
      <alignment horizontal="right" wrapText="1" readingOrder="1"/>
    </xf>
    <xf numFmtId="0" fontId="11" fillId="9" borderId="1" xfId="0" applyFont="1" applyFill="1" applyBorder="1" applyAlignment="1">
      <alignment horizontal="center" wrapText="1" readingOrder="1"/>
    </xf>
    <xf numFmtId="0" fontId="14" fillId="17" borderId="1" xfId="0" applyFont="1" applyFill="1" applyBorder="1" applyAlignment="1">
      <alignment wrapText="1" readingOrder="1"/>
    </xf>
    <xf numFmtId="0" fontId="14" fillId="17" borderId="1" xfId="0" applyFont="1" applyFill="1" applyBorder="1"/>
    <xf numFmtId="0" fontId="14" fillId="25" borderId="1" xfId="0" applyFont="1" applyFill="1" applyBorder="1" applyAlignment="1">
      <alignment wrapText="1" readingOrder="1"/>
    </xf>
    <xf numFmtId="0" fontId="11" fillId="25" borderId="1" xfId="0" applyFont="1" applyFill="1" applyBorder="1" applyAlignment="1">
      <alignment horizontal="center" wrapText="1" readingOrder="1"/>
    </xf>
    <xf numFmtId="0" fontId="11" fillId="12" borderId="1" xfId="0" applyFont="1" applyFill="1" applyBorder="1" applyAlignment="1">
      <alignment horizontal="center"/>
    </xf>
    <xf numFmtId="0" fontId="12" fillId="17" borderId="1" xfId="0" applyFont="1" applyFill="1" applyBorder="1" applyAlignment="1">
      <alignment wrapText="1" readingOrder="1"/>
    </xf>
    <xf numFmtId="0" fontId="12" fillId="17" borderId="7" xfId="0" applyFont="1" applyFill="1" applyBorder="1" applyAlignment="1">
      <alignment wrapText="1" readingOrder="1"/>
    </xf>
    <xf numFmtId="0" fontId="12" fillId="25" borderId="1" xfId="0" applyFont="1" applyFill="1" applyBorder="1" applyAlignment="1">
      <alignment wrapText="1" readingOrder="1"/>
    </xf>
    <xf numFmtId="0" fontId="14" fillId="16" borderId="1" xfId="0" applyFont="1" applyFill="1" applyBorder="1"/>
    <xf numFmtId="0" fontId="11" fillId="0" borderId="0" xfId="0" applyFont="1" applyAlignment="1">
      <alignment horizontal="center"/>
    </xf>
    <xf numFmtId="0" fontId="9" fillId="2" borderId="9" xfId="0" applyFont="1" applyFill="1" applyBorder="1"/>
    <xf numFmtId="0" fontId="9" fillId="3" borderId="9" xfId="0" applyFont="1" applyFill="1" applyBorder="1"/>
    <xf numFmtId="0" fontId="12" fillId="2" borderId="9" xfId="0" applyFont="1" applyFill="1" applyBorder="1"/>
    <xf numFmtId="0" fontId="12" fillId="3" borderId="9" xfId="0" applyFont="1" applyFill="1" applyBorder="1"/>
    <xf numFmtId="0" fontId="12" fillId="4" borderId="9" xfId="0" applyFont="1" applyFill="1" applyBorder="1"/>
    <xf numFmtId="0" fontId="12" fillId="5" borderId="9" xfId="0" applyFont="1" applyFill="1" applyBorder="1"/>
    <xf numFmtId="0" fontId="12" fillId="6" borderId="9" xfId="0" applyFont="1" applyFill="1" applyBorder="1"/>
    <xf numFmtId="0" fontId="11" fillId="6" borderId="9" xfId="0" applyFont="1" applyFill="1" applyBorder="1"/>
    <xf numFmtId="43" fontId="12" fillId="6" borderId="9" xfId="1" applyFont="1" applyFill="1" applyBorder="1"/>
    <xf numFmtId="0" fontId="12" fillId="7" borderId="9" xfId="0" applyFont="1" applyFill="1" applyBorder="1"/>
    <xf numFmtId="0" fontId="12" fillId="8" borderId="9" xfId="0" applyFont="1" applyFill="1" applyBorder="1"/>
    <xf numFmtId="0" fontId="12" fillId="9" borderId="9" xfId="0" applyFont="1" applyFill="1" applyBorder="1" applyAlignment="1">
      <alignment wrapText="1" readingOrder="1"/>
    </xf>
    <xf numFmtId="0" fontId="12" fillId="10" borderId="9" xfId="0" applyFont="1" applyFill="1" applyBorder="1"/>
    <xf numFmtId="0" fontId="11" fillId="12" borderId="9" xfId="0" applyFont="1" applyFill="1" applyBorder="1" applyAlignment="1">
      <alignment wrapText="1" readingOrder="1"/>
    </xf>
    <xf numFmtId="0" fontId="12" fillId="10" borderId="9" xfId="0" applyFont="1" applyFill="1" applyBorder="1" applyAlignment="1">
      <alignment wrapText="1" readingOrder="1"/>
    </xf>
    <xf numFmtId="0" fontId="11" fillId="9" borderId="9" xfId="0" applyFont="1" applyFill="1" applyBorder="1"/>
    <xf numFmtId="0" fontId="12" fillId="13" borderId="9" xfId="0" applyFont="1" applyFill="1" applyBorder="1"/>
    <xf numFmtId="0" fontId="12" fillId="20" borderId="9" xfId="0" applyFont="1" applyFill="1" applyBorder="1"/>
    <xf numFmtId="0" fontId="12" fillId="21" borderId="9" xfId="0" applyFont="1" applyFill="1" applyBorder="1"/>
    <xf numFmtId="0" fontId="11" fillId="22" borderId="9" xfId="0" applyFont="1" applyFill="1" applyBorder="1" applyAlignment="1">
      <alignment wrapText="1" readingOrder="1"/>
    </xf>
    <xf numFmtId="0" fontId="11" fillId="23" borderId="9" xfId="0" applyFont="1" applyFill="1" applyBorder="1" applyAlignment="1">
      <alignment wrapText="1" readingOrder="1"/>
    </xf>
    <xf numFmtId="0" fontId="11" fillId="9" borderId="9" xfId="0" applyFont="1" applyFill="1" applyBorder="1" applyAlignment="1">
      <alignment wrapText="1" readingOrder="1"/>
    </xf>
    <xf numFmtId="0" fontId="11" fillId="17" borderId="9" xfId="0" applyFont="1" applyFill="1" applyBorder="1" applyAlignment="1">
      <alignment wrapText="1" readingOrder="1"/>
    </xf>
    <xf numFmtId="0" fontId="12" fillId="17" borderId="9" xfId="0" applyFont="1" applyFill="1" applyBorder="1" applyAlignment="1">
      <alignment wrapText="1" readingOrder="1"/>
    </xf>
    <xf numFmtId="0" fontId="14" fillId="17" borderId="9" xfId="0" applyFont="1" applyFill="1" applyBorder="1" applyAlignment="1">
      <alignment wrapText="1" readingOrder="1"/>
    </xf>
    <xf numFmtId="0" fontId="12" fillId="25" borderId="9" xfId="0" applyFont="1" applyFill="1" applyBorder="1" applyAlignment="1">
      <alignment wrapText="1" readingOrder="1"/>
    </xf>
    <xf numFmtId="0" fontId="11" fillId="25" borderId="9" xfId="0" applyFont="1" applyFill="1" applyBorder="1" applyAlignment="1">
      <alignment wrapText="1" readingOrder="1"/>
    </xf>
    <xf numFmtId="0" fontId="11" fillId="26" borderId="9" xfId="0" applyFont="1" applyFill="1" applyBorder="1"/>
    <xf numFmtId="0" fontId="11" fillId="27" borderId="9" xfId="0" applyFont="1" applyFill="1" applyBorder="1" applyAlignment="1">
      <alignment wrapText="1" readingOrder="1"/>
    </xf>
    <xf numFmtId="0" fontId="11" fillId="12" borderId="9" xfId="0" applyFont="1" applyFill="1" applyBorder="1"/>
    <xf numFmtId="0" fontId="14" fillId="12" borderId="9" xfId="0" applyFont="1" applyFill="1" applyBorder="1"/>
    <xf numFmtId="0" fontId="14" fillId="25" borderId="9" xfId="0" applyFont="1" applyFill="1" applyBorder="1" applyAlignment="1">
      <alignment wrapText="1" readingOrder="1"/>
    </xf>
    <xf numFmtId="0" fontId="14" fillId="16" borderId="9" xfId="0" applyFont="1" applyFill="1" applyBorder="1"/>
    <xf numFmtId="0" fontId="8" fillId="32" borderId="1" xfId="0" applyFont="1" applyFill="1" applyBorder="1"/>
    <xf numFmtId="0" fontId="11" fillId="33" borderId="1" xfId="0" applyFont="1" applyFill="1" applyBorder="1"/>
    <xf numFmtId="0" fontId="8" fillId="34" borderId="1" xfId="0" applyFont="1" applyFill="1" applyBorder="1" applyAlignment="1">
      <alignment horizontal="center"/>
    </xf>
    <xf numFmtId="0" fontId="18" fillId="0" borderId="0" xfId="0" applyFont="1"/>
    <xf numFmtId="0" fontId="8" fillId="14" borderId="1" xfId="0" applyFont="1" applyFill="1" applyBorder="1" applyAlignment="1">
      <alignment wrapText="1" readingOrder="1"/>
    </xf>
    <xf numFmtId="0" fontId="12" fillId="21" borderId="1" xfId="0" applyFont="1" applyFill="1" applyBorder="1" applyAlignment="1">
      <alignment horizontal="center"/>
    </xf>
    <xf numFmtId="0" fontId="14" fillId="35" borderId="1" xfId="0" applyFont="1" applyFill="1" applyBorder="1" applyAlignment="1">
      <alignment wrapText="1" readingOrder="1"/>
    </xf>
    <xf numFmtId="0" fontId="12" fillId="7" borderId="1" xfId="0" applyFont="1" applyFill="1" applyBorder="1" applyAlignment="1">
      <alignment horizontal="center"/>
    </xf>
    <xf numFmtId="0" fontId="9" fillId="5" borderId="4" xfId="0" applyFont="1" applyFill="1" applyBorder="1"/>
    <xf numFmtId="0" fontId="9" fillId="5" borderId="1" xfId="0" applyFont="1" applyFill="1" applyBorder="1"/>
    <xf numFmtId="0" fontId="12" fillId="14" borderId="1" xfId="0" applyFont="1" applyFill="1" applyBorder="1" applyAlignment="1">
      <alignment wrapText="1" readingOrder="1"/>
    </xf>
    <xf numFmtId="0" fontId="12" fillId="37" borderId="9" xfId="0" applyFont="1" applyFill="1" applyBorder="1"/>
    <xf numFmtId="0" fontId="12" fillId="37" borderId="5" xfId="0" applyFont="1" applyFill="1" applyBorder="1"/>
    <xf numFmtId="0" fontId="12" fillId="37" borderId="1" xfId="0" applyFont="1" applyFill="1" applyBorder="1" applyAlignment="1">
      <alignment horizontal="center"/>
    </xf>
    <xf numFmtId="0" fontId="13" fillId="9" borderId="1" xfId="0" applyFont="1" applyFill="1" applyBorder="1"/>
    <xf numFmtId="0" fontId="17" fillId="16" borderId="1" xfId="0" applyFont="1" applyFill="1" applyBorder="1" applyAlignment="1">
      <alignment vertical="center"/>
    </xf>
    <xf numFmtId="0" fontId="17" fillId="28" borderId="9" xfId="0" applyFont="1" applyFill="1" applyBorder="1"/>
    <xf numFmtId="0" fontId="17" fillId="28" borderId="1" xfId="0" applyFont="1" applyFill="1" applyBorder="1"/>
    <xf numFmtId="0" fontId="17" fillId="29" borderId="9" xfId="0" applyFont="1" applyFill="1" applyBorder="1"/>
    <xf numFmtId="0" fontId="17" fillId="29" borderId="1" xfId="0" applyFont="1" applyFill="1" applyBorder="1"/>
    <xf numFmtId="0" fontId="17" fillId="28" borderId="10" xfId="0" applyFont="1" applyFill="1" applyBorder="1"/>
    <xf numFmtId="0" fontId="17" fillId="28" borderId="8" xfId="0" applyFont="1" applyFill="1" applyBorder="1"/>
    <xf numFmtId="0" fontId="17" fillId="3" borderId="9" xfId="0" applyFont="1" applyFill="1" applyBorder="1"/>
    <xf numFmtId="0" fontId="17" fillId="3" borderId="1" xfId="0" applyFont="1" applyFill="1" applyBorder="1"/>
    <xf numFmtId="0" fontId="17" fillId="3" borderId="1" xfId="0" applyFont="1" applyFill="1" applyBorder="1" applyAlignment="1">
      <alignment horizontal="center"/>
    </xf>
    <xf numFmtId="0" fontId="15" fillId="38" borderId="1" xfId="2" applyFont="1" applyFill="1" applyBorder="1">
      <alignment vertical="center"/>
    </xf>
    <xf numFmtId="0" fontId="15" fillId="38" borderId="1" xfId="2" applyFont="1" applyFill="1" applyBorder="1" applyAlignment="1">
      <alignment horizontal="left" vertical="center"/>
    </xf>
    <xf numFmtId="0" fontId="15" fillId="39" borderId="1" xfId="2" applyFont="1" applyFill="1" applyBorder="1">
      <alignment vertical="center"/>
    </xf>
    <xf numFmtId="0" fontId="14" fillId="40" borderId="1" xfId="0" applyFont="1" applyFill="1" applyBorder="1"/>
    <xf numFmtId="164" fontId="14" fillId="40" borderId="1" xfId="0" applyNumberFormat="1" applyFont="1" applyFill="1" applyBorder="1"/>
    <xf numFmtId="0" fontId="21" fillId="41" borderId="1" xfId="0" applyFont="1" applyFill="1" applyBorder="1"/>
    <xf numFmtId="0" fontId="22" fillId="44" borderId="1" xfId="0" applyFont="1" applyFill="1" applyBorder="1"/>
    <xf numFmtId="0" fontId="0" fillId="0" borderId="0" xfId="0" applyAlignment="1">
      <alignment horizontal="center"/>
    </xf>
    <xf numFmtId="0" fontId="21" fillId="40" borderId="1" xfId="0" applyFont="1" applyFill="1" applyBorder="1" applyAlignment="1">
      <alignment wrapText="1" readingOrder="1"/>
    </xf>
    <xf numFmtId="0" fontId="21" fillId="45" borderId="1" xfId="0" applyFont="1" applyFill="1" applyBorder="1"/>
    <xf numFmtId="0" fontId="19" fillId="40" borderId="1" xfId="0" applyFont="1" applyFill="1" applyBorder="1"/>
    <xf numFmtId="0" fontId="26" fillId="42" borderId="1" xfId="0" applyFont="1" applyFill="1" applyBorder="1" applyAlignment="1">
      <alignment wrapText="1" readingOrder="1"/>
    </xf>
    <xf numFmtId="0" fontId="26" fillId="43" borderId="1" xfId="0" applyFont="1" applyFill="1" applyBorder="1"/>
    <xf numFmtId="0" fontId="27" fillId="42" borderId="1" xfId="0" applyFont="1" applyFill="1" applyBorder="1"/>
    <xf numFmtId="0" fontId="24" fillId="41" borderId="1" xfId="0" applyFont="1" applyFill="1" applyBorder="1"/>
    <xf numFmtId="0" fontId="23" fillId="46" borderId="1" xfId="0" applyFont="1" applyFill="1" applyBorder="1"/>
    <xf numFmtId="0" fontId="22" fillId="42" borderId="1" xfId="0" applyFont="1" applyFill="1" applyBorder="1" applyAlignment="1">
      <alignment wrapText="1" readingOrder="1"/>
    </xf>
    <xf numFmtId="0" fontId="22" fillId="43" borderId="1" xfId="0" applyFont="1" applyFill="1" applyBorder="1"/>
    <xf numFmtId="0" fontId="16" fillId="47" borderId="1" xfId="0" applyFont="1" applyFill="1" applyBorder="1"/>
    <xf numFmtId="164" fontId="16" fillId="47" borderId="1" xfId="0" applyNumberFormat="1" applyFont="1" applyFill="1" applyBorder="1"/>
    <xf numFmtId="0" fontId="16" fillId="47" borderId="1" xfId="0" applyFont="1" applyFill="1" applyBorder="1" applyAlignment="1">
      <alignment wrapText="1" readingOrder="1"/>
    </xf>
    <xf numFmtId="0" fontId="28" fillId="18" borderId="1" xfId="0" applyFont="1" applyFill="1" applyBorder="1"/>
    <xf numFmtId="0" fontId="24" fillId="16" borderId="1" xfId="0" applyFont="1" applyFill="1" applyBorder="1"/>
    <xf numFmtId="0" fontId="24" fillId="17" borderId="1" xfId="0" applyFont="1" applyFill="1" applyBorder="1"/>
    <xf numFmtId="0" fontId="24" fillId="14" borderId="1" xfId="0" applyFont="1" applyFill="1" applyBorder="1"/>
    <xf numFmtId="0" fontId="24" fillId="16" borderId="8" xfId="0" applyFont="1" applyFill="1" applyBorder="1"/>
    <xf numFmtId="0" fontId="24" fillId="17" borderId="8" xfId="0" applyFont="1" applyFill="1" applyBorder="1"/>
    <xf numFmtId="0" fontId="24" fillId="16" borderId="11" xfId="0" applyFont="1" applyFill="1" applyBorder="1"/>
    <xf numFmtId="0" fontId="24" fillId="17" borderId="11" xfId="0" applyFont="1" applyFill="1" applyBorder="1"/>
    <xf numFmtId="0" fontId="28" fillId="23" borderId="1" xfId="0" applyFont="1" applyFill="1" applyBorder="1"/>
    <xf numFmtId="0" fontId="25" fillId="23" borderId="1" xfId="0" applyFont="1" applyFill="1" applyBorder="1"/>
    <xf numFmtId="0" fontId="29" fillId="23" borderId="1" xfId="0" applyFont="1" applyFill="1" applyBorder="1"/>
    <xf numFmtId="0" fontId="25" fillId="23" borderId="1" xfId="0" applyFont="1" applyFill="1" applyBorder="1" applyAlignment="1">
      <alignment horizontal="right"/>
    </xf>
    <xf numFmtId="0" fontId="25" fillId="22" borderId="1" xfId="0" applyFont="1" applyFill="1" applyBorder="1"/>
    <xf numFmtId="0" fontId="29" fillId="22" borderId="1" xfId="0" applyFont="1" applyFill="1" applyBorder="1"/>
    <xf numFmtId="0" fontId="25" fillId="18" borderId="1" xfId="0" applyFont="1" applyFill="1" applyBorder="1"/>
    <xf numFmtId="0" fontId="24" fillId="18" borderId="1" xfId="0" applyFont="1" applyFill="1" applyBorder="1"/>
    <xf numFmtId="0" fontId="25" fillId="17" borderId="1" xfId="0" applyFont="1" applyFill="1" applyBorder="1"/>
    <xf numFmtId="43" fontId="24" fillId="30" borderId="1" xfId="1" applyFont="1" applyFill="1" applyBorder="1"/>
    <xf numFmtId="0" fontId="28" fillId="22" borderId="1" xfId="0" applyFont="1" applyFill="1" applyBorder="1"/>
    <xf numFmtId="43" fontId="24" fillId="31" borderId="1" xfId="1" applyFont="1" applyFill="1" applyBorder="1"/>
    <xf numFmtId="164" fontId="24" fillId="31" borderId="1" xfId="1" applyNumberFormat="1" applyFont="1" applyFill="1" applyBorder="1"/>
    <xf numFmtId="43" fontId="24" fillId="30" borderId="8" xfId="1" applyFont="1" applyFill="1" applyBorder="1"/>
    <xf numFmtId="0" fontId="25" fillId="22" borderId="8" xfId="0" applyFont="1" applyFill="1" applyBorder="1"/>
    <xf numFmtId="0" fontId="25" fillId="18" borderId="8" xfId="0" applyFont="1" applyFill="1" applyBorder="1"/>
    <xf numFmtId="0" fontId="25" fillId="16" borderId="1" xfId="0" applyFont="1" applyFill="1" applyBorder="1"/>
    <xf numFmtId="0" fontId="25" fillId="36" borderId="1" xfId="0" applyFont="1" applyFill="1" applyBorder="1"/>
    <xf numFmtId="0" fontId="9" fillId="48" borderId="1" xfId="0" applyFont="1" applyFill="1" applyBorder="1"/>
    <xf numFmtId="0" fontId="15" fillId="49" borderId="1" xfId="0" applyFont="1" applyFill="1" applyBorder="1" applyAlignment="1">
      <alignment wrapText="1" readingOrder="1"/>
    </xf>
    <xf numFmtId="0" fontId="16" fillId="49" borderId="1" xfId="0" applyFont="1" applyFill="1" applyBorder="1" applyAlignment="1">
      <alignment wrapText="1" readingOrder="1"/>
    </xf>
    <xf numFmtId="0" fontId="25" fillId="49" borderId="1" xfId="0" applyFont="1" applyFill="1" applyBorder="1" applyAlignment="1">
      <alignment wrapText="1" readingOrder="1"/>
    </xf>
    <xf numFmtId="0" fontId="0" fillId="23" borderId="1" xfId="0" applyFill="1" applyBorder="1"/>
    <xf numFmtId="0" fontId="21" fillId="49" borderId="1" xfId="0" applyFont="1" applyFill="1" applyBorder="1" applyAlignment="1">
      <alignment wrapText="1" readingOrder="1"/>
    </xf>
    <xf numFmtId="0" fontId="21" fillId="49" borderId="1" xfId="0" applyFont="1" applyFill="1" applyBorder="1"/>
    <xf numFmtId="0" fontId="19" fillId="50" borderId="1" xfId="2" applyFont="1" applyFill="1" applyBorder="1">
      <alignment vertical="center"/>
    </xf>
    <xf numFmtId="0" fontId="19" fillId="50" borderId="7" xfId="2" applyFont="1" applyFill="1" applyBorder="1">
      <alignment vertical="center"/>
    </xf>
    <xf numFmtId="0" fontId="15" fillId="33" borderId="1" xfId="0" applyFont="1" applyFill="1" applyBorder="1" applyAlignment="1">
      <alignment wrapText="1" readingOrder="1"/>
    </xf>
    <xf numFmtId="0" fontId="19" fillId="49" borderId="1" xfId="0" applyFont="1" applyFill="1" applyBorder="1" applyAlignment="1">
      <alignment wrapText="1" readingOrder="1"/>
    </xf>
    <xf numFmtId="0" fontId="12" fillId="10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 wrapText="1" readingOrder="1"/>
    </xf>
    <xf numFmtId="0" fontId="19" fillId="33" borderId="1" xfId="0" applyFont="1" applyFill="1" applyBorder="1" applyAlignment="1">
      <alignment wrapText="1" readingOrder="1"/>
    </xf>
    <xf numFmtId="0" fontId="0" fillId="14" borderId="0" xfId="0" applyFill="1"/>
    <xf numFmtId="0" fontId="0" fillId="0" borderId="0" xfId="0" applyFill="1"/>
    <xf numFmtId="0" fontId="24" fillId="51" borderId="1" xfId="0" applyFont="1" applyFill="1" applyBorder="1"/>
    <xf numFmtId="0" fontId="25" fillId="52" borderId="1" xfId="0" applyFont="1" applyFill="1" applyBorder="1"/>
    <xf numFmtId="0" fontId="0" fillId="23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97ECCCCE-4BB1-4593-907C-0CE4384FA92E}"/>
  </cellStyles>
  <dxfs count="0"/>
  <tableStyles count="0" defaultTableStyle="TableStyleMedium2" defaultPivotStyle="PivotStyleLight16"/>
  <colors>
    <mruColors>
      <color rgb="FF864A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HOENIX/Pho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4269-4F56-4CE5-835C-6DEE15B06B53}">
  <sheetPr filterMode="1">
    <pageSetUpPr fitToPage="1"/>
  </sheetPr>
  <dimension ref="A1:AI797"/>
  <sheetViews>
    <sheetView tabSelected="1" zoomScale="55" zoomScaleNormal="55" zoomScaleSheetLayoutView="50" workbookViewId="0">
      <selection activeCell="I797" sqref="I797"/>
    </sheetView>
  </sheetViews>
  <sheetFormatPr defaultRowHeight="15" x14ac:dyDescent="0.25"/>
  <cols>
    <col min="1" max="1" width="6.42578125" bestFit="1" customWidth="1"/>
    <col min="2" max="2" width="63" bestFit="1" customWidth="1"/>
    <col min="3" max="3" width="146.140625" bestFit="1" customWidth="1"/>
    <col min="4" max="4" width="12.85546875" style="157" customWidth="1"/>
    <col min="5" max="5" width="11.42578125" style="157" customWidth="1"/>
    <col min="6" max="6" width="12.140625" customWidth="1"/>
    <col min="7" max="7" width="10.140625" customWidth="1"/>
    <col min="8" max="8" width="19.5703125" bestFit="1" customWidth="1"/>
    <col min="9" max="9" width="25.85546875" customWidth="1"/>
    <col min="10" max="10" width="19.85546875" bestFit="1" customWidth="1"/>
    <col min="11" max="11" width="10.42578125" customWidth="1"/>
    <col min="12" max="12" width="9" customWidth="1"/>
    <col min="13" max="13" width="10" customWidth="1"/>
    <col min="14" max="14" width="13.28515625" customWidth="1"/>
    <col min="15" max="15" width="8.28515625" customWidth="1"/>
    <col min="16" max="16" width="11.85546875" customWidth="1"/>
    <col min="17" max="17" width="10.7109375" customWidth="1"/>
    <col min="18" max="18" width="9.7109375" style="211" customWidth="1"/>
    <col min="19" max="19" width="18.5703125" bestFit="1" customWidth="1"/>
    <col min="20" max="20" width="17.5703125" bestFit="1" customWidth="1"/>
    <col min="21" max="21" width="15.28515625" bestFit="1" customWidth="1"/>
    <col min="22" max="22" width="23.42578125" bestFit="1" customWidth="1"/>
    <col min="23" max="23" width="18.140625" bestFit="1" customWidth="1"/>
    <col min="24" max="24" width="20.140625" bestFit="1" customWidth="1"/>
    <col min="25" max="25" width="29.5703125" bestFit="1" customWidth="1"/>
    <col min="26" max="26" width="32.7109375" bestFit="1" customWidth="1"/>
    <col min="27" max="27" width="19.5703125" bestFit="1" customWidth="1"/>
    <col min="28" max="28" width="11" bestFit="1" customWidth="1"/>
    <col min="29" max="29" width="16.85546875" customWidth="1"/>
    <col min="30" max="30" width="14.7109375" bestFit="1" customWidth="1"/>
    <col min="31" max="31" width="17" bestFit="1" customWidth="1"/>
    <col min="32" max="32" width="13.42578125" bestFit="1" customWidth="1"/>
    <col min="33" max="33" width="10.5703125" bestFit="1" customWidth="1"/>
    <col min="34" max="34" width="12.7109375" bestFit="1" customWidth="1"/>
  </cols>
  <sheetData>
    <row r="1" spans="1:35" ht="15.75" x14ac:dyDescent="0.25">
      <c r="R1" s="212"/>
      <c r="Y1" s="128" t="s">
        <v>1087</v>
      </c>
      <c r="Z1" s="128"/>
      <c r="AA1" s="128"/>
    </row>
    <row r="2" spans="1:35" ht="23.25" x14ac:dyDescent="0.35">
      <c r="A2" s="28" t="s">
        <v>0</v>
      </c>
      <c r="B2" s="28" t="s">
        <v>1</v>
      </c>
      <c r="C2" s="28" t="s">
        <v>2</v>
      </c>
      <c r="D2" s="28" t="s">
        <v>3</v>
      </c>
      <c r="E2" s="29" t="s">
        <v>1534</v>
      </c>
      <c r="F2" s="29" t="s">
        <v>5</v>
      </c>
      <c r="G2" s="29" t="s">
        <v>1361</v>
      </c>
      <c r="H2" s="29" t="s">
        <v>1176</v>
      </c>
      <c r="I2" s="29" t="s">
        <v>1541</v>
      </c>
      <c r="J2" s="29" t="s">
        <v>1285</v>
      </c>
      <c r="K2" s="29" t="s">
        <v>6</v>
      </c>
      <c r="L2" s="29" t="s">
        <v>7</v>
      </c>
      <c r="M2" s="29" t="s">
        <v>1179</v>
      </c>
      <c r="N2" s="29" t="s">
        <v>8</v>
      </c>
      <c r="O2" s="29" t="s">
        <v>9</v>
      </c>
      <c r="P2" s="29" t="s">
        <v>10</v>
      </c>
      <c r="Q2" s="29" t="s">
        <v>11</v>
      </c>
      <c r="R2" s="29" t="s">
        <v>1145</v>
      </c>
      <c r="S2" s="29" t="s">
        <v>12</v>
      </c>
      <c r="T2" s="29" t="s">
        <v>13</v>
      </c>
      <c r="U2" s="29" t="s">
        <v>14</v>
      </c>
      <c r="V2" s="29" t="s">
        <v>15</v>
      </c>
      <c r="W2" s="29" t="s">
        <v>807</v>
      </c>
      <c r="X2" s="29" t="s">
        <v>16</v>
      </c>
      <c r="Y2" s="29" t="s">
        <v>17</v>
      </c>
      <c r="Z2" s="29" t="s">
        <v>1327</v>
      </c>
      <c r="AA2" s="29" t="s">
        <v>1328</v>
      </c>
      <c r="AB2" s="29" t="s">
        <v>18</v>
      </c>
      <c r="AC2" s="29"/>
      <c r="AD2" s="29" t="s">
        <v>1132</v>
      </c>
      <c r="AE2" s="29" t="s">
        <v>969</v>
      </c>
      <c r="AF2" s="29" t="s">
        <v>19</v>
      </c>
      <c r="AG2" s="29" t="s">
        <v>954</v>
      </c>
      <c r="AH2" s="29" t="s">
        <v>4</v>
      </c>
      <c r="AI2" s="30"/>
    </row>
    <row r="3" spans="1:35" ht="35.25" hidden="1" x14ac:dyDescent="0.5">
      <c r="A3" s="127">
        <v>1</v>
      </c>
      <c r="B3" s="92" t="s">
        <v>20</v>
      </c>
      <c r="C3" s="24" t="s">
        <v>1536</v>
      </c>
      <c r="D3" s="25">
        <v>59</v>
      </c>
      <c r="E3" s="171">
        <v>1</v>
      </c>
      <c r="F3" s="171">
        <v>2</v>
      </c>
      <c r="G3" s="171">
        <v>1</v>
      </c>
      <c r="H3" s="171"/>
      <c r="I3" s="171">
        <v>1</v>
      </c>
      <c r="J3" s="171">
        <v>5</v>
      </c>
      <c r="K3" s="171"/>
      <c r="L3" s="171"/>
      <c r="M3" s="171">
        <v>1</v>
      </c>
      <c r="N3" s="171">
        <v>11</v>
      </c>
      <c r="O3" s="171"/>
      <c r="P3" s="171"/>
      <c r="Q3" s="171">
        <v>4</v>
      </c>
      <c r="R3" s="171">
        <v>3</v>
      </c>
      <c r="S3" s="171"/>
      <c r="T3" s="171"/>
      <c r="U3" s="171"/>
      <c r="V3" s="171"/>
      <c r="W3" s="171">
        <v>7</v>
      </c>
      <c r="X3" s="171">
        <v>2</v>
      </c>
      <c r="Y3" s="171"/>
      <c r="Z3" s="171"/>
      <c r="AA3" s="171"/>
      <c r="AB3" s="171"/>
      <c r="AC3" s="171"/>
      <c r="AD3" s="171"/>
      <c r="AE3" s="171">
        <v>2</v>
      </c>
      <c r="AF3" s="171">
        <v>6</v>
      </c>
      <c r="AG3" s="172">
        <f>SUM(F3:AF3)</f>
        <v>45</v>
      </c>
      <c r="AH3" s="173">
        <f>D3-AG3</f>
        <v>14</v>
      </c>
    </row>
    <row r="4" spans="1:35" ht="35.25" hidden="1" x14ac:dyDescent="0.5">
      <c r="A4" s="127">
        <v>3</v>
      </c>
      <c r="B4" s="93" t="s">
        <v>24</v>
      </c>
      <c r="C4" s="26" t="s">
        <v>25</v>
      </c>
      <c r="D4" s="27">
        <v>39</v>
      </c>
      <c r="E4" s="171">
        <v>3</v>
      </c>
      <c r="F4" s="171">
        <f>1+1</f>
        <v>2</v>
      </c>
      <c r="G4" s="171">
        <v>1</v>
      </c>
      <c r="H4" s="171"/>
      <c r="I4" s="171">
        <v>1</v>
      </c>
      <c r="J4" s="171">
        <v>3</v>
      </c>
      <c r="K4" s="171"/>
      <c r="L4" s="171"/>
      <c r="M4" s="171">
        <v>1</v>
      </c>
      <c r="N4" s="171">
        <f>1+1</f>
        <v>2</v>
      </c>
      <c r="O4" s="171"/>
      <c r="P4" s="171"/>
      <c r="Q4" s="171">
        <v>2</v>
      </c>
      <c r="R4" s="171">
        <v>2</v>
      </c>
      <c r="S4" s="171"/>
      <c r="T4" s="171"/>
      <c r="U4" s="171"/>
      <c r="V4" s="171"/>
      <c r="W4" s="171">
        <v>8</v>
      </c>
      <c r="X4" s="171">
        <v>6</v>
      </c>
      <c r="Y4" s="171"/>
      <c r="Z4" s="171"/>
      <c r="AA4" s="171"/>
      <c r="AB4" s="171"/>
      <c r="AC4" s="171"/>
      <c r="AD4" s="171">
        <v>2</v>
      </c>
      <c r="AE4" s="171"/>
      <c r="AF4" s="171">
        <v>1</v>
      </c>
      <c r="AG4" s="172">
        <f t="shared" ref="AG4:AG53" si="0">SUM(F4:AF4)</f>
        <v>31</v>
      </c>
      <c r="AH4" s="173">
        <f>D4-AG4</f>
        <v>8</v>
      </c>
    </row>
    <row r="5" spans="1:35" ht="35.25" hidden="1" x14ac:dyDescent="0.5">
      <c r="A5" s="127">
        <v>4</v>
      </c>
      <c r="B5" s="93" t="s">
        <v>26</v>
      </c>
      <c r="C5" s="26" t="s">
        <v>27</v>
      </c>
      <c r="D5" s="27">
        <v>20</v>
      </c>
      <c r="E5" s="171"/>
      <c r="F5" s="171">
        <v>3</v>
      </c>
      <c r="G5" s="171"/>
      <c r="H5" s="171"/>
      <c r="I5" s="171"/>
      <c r="J5" s="171"/>
      <c r="K5" s="171"/>
      <c r="L5" s="171"/>
      <c r="M5" s="171"/>
      <c r="N5" s="171">
        <f>1+1</f>
        <v>2</v>
      </c>
      <c r="O5" s="171"/>
      <c r="P5" s="171"/>
      <c r="Q5" s="171">
        <v>5</v>
      </c>
      <c r="R5" s="171"/>
      <c r="S5" s="171"/>
      <c r="T5" s="171"/>
      <c r="U5" s="171"/>
      <c r="V5" s="171"/>
      <c r="W5" s="171">
        <v>5</v>
      </c>
      <c r="X5" s="171">
        <v>4</v>
      </c>
      <c r="Y5" s="171"/>
      <c r="Z5" s="171"/>
      <c r="AA5" s="171"/>
      <c r="AB5" s="171"/>
      <c r="AC5" s="171"/>
      <c r="AD5" s="171"/>
      <c r="AE5" s="171"/>
      <c r="AF5" s="171"/>
      <c r="AG5" s="172">
        <f t="shared" si="0"/>
        <v>19</v>
      </c>
      <c r="AH5" s="173">
        <f>D5-AG5</f>
        <v>1</v>
      </c>
    </row>
    <row r="6" spans="1:35" ht="35.25" hidden="1" x14ac:dyDescent="0.5">
      <c r="A6" s="127">
        <v>5</v>
      </c>
      <c r="B6" s="93" t="s">
        <v>28</v>
      </c>
      <c r="C6" s="26" t="s">
        <v>29</v>
      </c>
      <c r="D6" s="27">
        <v>27</v>
      </c>
      <c r="E6" s="171">
        <v>1</v>
      </c>
      <c r="F6" s="171"/>
      <c r="G6" s="171"/>
      <c r="H6" s="171"/>
      <c r="I6" s="171">
        <v>1</v>
      </c>
      <c r="J6" s="171">
        <v>1</v>
      </c>
      <c r="K6" s="171"/>
      <c r="L6" s="171"/>
      <c r="M6" s="171">
        <v>1</v>
      </c>
      <c r="N6" s="171">
        <v>6</v>
      </c>
      <c r="O6" s="171"/>
      <c r="P6" s="171"/>
      <c r="Q6" s="171"/>
      <c r="R6" s="171">
        <v>1</v>
      </c>
      <c r="S6" s="171"/>
      <c r="T6" s="171"/>
      <c r="U6" s="171"/>
      <c r="V6" s="171"/>
      <c r="W6" s="171">
        <v>6</v>
      </c>
      <c r="X6" s="171">
        <v>5</v>
      </c>
      <c r="Y6" s="171"/>
      <c r="Z6" s="171"/>
      <c r="AA6" s="171"/>
      <c r="AB6" s="171"/>
      <c r="AC6" s="171"/>
      <c r="AD6" s="171"/>
      <c r="AE6" s="171">
        <v>2</v>
      </c>
      <c r="AF6" s="171">
        <v>1</v>
      </c>
      <c r="AG6" s="172">
        <f t="shared" si="0"/>
        <v>24</v>
      </c>
      <c r="AH6" s="173">
        <f>D6-AG6</f>
        <v>3</v>
      </c>
    </row>
    <row r="7" spans="1:35" ht="35.25" hidden="1" x14ac:dyDescent="0.5">
      <c r="A7" s="127">
        <v>7</v>
      </c>
      <c r="B7" s="93" t="s">
        <v>32</v>
      </c>
      <c r="C7" s="26" t="s">
        <v>33</v>
      </c>
      <c r="D7" s="27">
        <v>21</v>
      </c>
      <c r="E7" s="171"/>
      <c r="F7" s="171">
        <v>3</v>
      </c>
      <c r="G7" s="171"/>
      <c r="H7" s="171"/>
      <c r="I7" s="171"/>
      <c r="J7" s="171"/>
      <c r="K7" s="171"/>
      <c r="L7" s="171"/>
      <c r="M7" s="171"/>
      <c r="N7" s="171">
        <v>2</v>
      </c>
      <c r="O7" s="171"/>
      <c r="P7" s="171"/>
      <c r="Q7" s="171"/>
      <c r="R7" s="171">
        <v>4</v>
      </c>
      <c r="S7" s="171"/>
      <c r="T7" s="171"/>
      <c r="U7" s="171"/>
      <c r="V7" s="171"/>
      <c r="W7" s="171">
        <v>5</v>
      </c>
      <c r="X7" s="171">
        <v>4</v>
      </c>
      <c r="Y7" s="171"/>
      <c r="Z7" s="171"/>
      <c r="AA7" s="171"/>
      <c r="AB7" s="171"/>
      <c r="AC7" s="171"/>
      <c r="AD7" s="171">
        <v>1</v>
      </c>
      <c r="AE7" s="171"/>
      <c r="AF7" s="171"/>
      <c r="AG7" s="172">
        <f t="shared" si="0"/>
        <v>19</v>
      </c>
      <c r="AH7" s="173">
        <f>D7-AG7</f>
        <v>2</v>
      </c>
    </row>
    <row r="8" spans="1:35" ht="35.25" hidden="1" x14ac:dyDescent="0.5">
      <c r="A8" s="127">
        <v>9</v>
      </c>
      <c r="B8" s="92" t="s">
        <v>36</v>
      </c>
      <c r="C8" s="24" t="s">
        <v>37</v>
      </c>
      <c r="D8" s="25">
        <v>23</v>
      </c>
      <c r="E8" s="171"/>
      <c r="F8" s="171"/>
      <c r="G8" s="171"/>
      <c r="H8" s="171"/>
      <c r="I8" s="171"/>
      <c r="J8" s="171">
        <v>2</v>
      </c>
      <c r="K8" s="171"/>
      <c r="L8" s="171"/>
      <c r="M8" s="171">
        <f>2+2</f>
        <v>4</v>
      </c>
      <c r="N8" s="171">
        <f>1+3</f>
        <v>4</v>
      </c>
      <c r="O8" s="171"/>
      <c r="P8" s="171"/>
      <c r="Q8" s="171"/>
      <c r="R8" s="171">
        <f>3+2</f>
        <v>5</v>
      </c>
      <c r="S8" s="171"/>
      <c r="T8" s="171"/>
      <c r="U8" s="171"/>
      <c r="V8" s="171"/>
      <c r="W8" s="171">
        <v>2</v>
      </c>
      <c r="X8" s="171">
        <v>2</v>
      </c>
      <c r="Y8" s="171"/>
      <c r="Z8" s="171"/>
      <c r="AA8" s="171"/>
      <c r="AB8" s="171"/>
      <c r="AC8" s="171"/>
      <c r="AD8" s="171">
        <f>2+1</f>
        <v>3</v>
      </c>
      <c r="AE8" s="171">
        <v>1</v>
      </c>
      <c r="AF8" s="171">
        <v>1</v>
      </c>
      <c r="AG8" s="172">
        <f t="shared" si="0"/>
        <v>24</v>
      </c>
      <c r="AH8" s="173">
        <f>D8-AG8</f>
        <v>-1</v>
      </c>
    </row>
    <row r="9" spans="1:35" ht="35.25" hidden="1" x14ac:dyDescent="0.5">
      <c r="A9" s="127">
        <v>10</v>
      </c>
      <c r="B9" s="92" t="s">
        <v>38</v>
      </c>
      <c r="C9" s="24" t="s">
        <v>39</v>
      </c>
      <c r="D9" s="25">
        <v>1</v>
      </c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>
        <v>1</v>
      </c>
      <c r="Y9" s="171"/>
      <c r="Z9" s="171"/>
      <c r="AA9" s="171"/>
      <c r="AB9" s="171"/>
      <c r="AC9" s="171"/>
      <c r="AD9" s="171"/>
      <c r="AE9" s="171"/>
      <c r="AF9" s="171"/>
      <c r="AG9" s="172">
        <f t="shared" si="0"/>
        <v>1</v>
      </c>
      <c r="AH9" s="173">
        <f>D9-AG9</f>
        <v>0</v>
      </c>
    </row>
    <row r="10" spans="1:35" ht="35.25" hidden="1" x14ac:dyDescent="0.5">
      <c r="A10" s="127">
        <v>11</v>
      </c>
      <c r="B10" s="93" t="s">
        <v>40</v>
      </c>
      <c r="C10" s="26" t="s">
        <v>41</v>
      </c>
      <c r="D10" s="27">
        <v>3</v>
      </c>
      <c r="E10" s="171"/>
      <c r="F10" s="171">
        <v>1</v>
      </c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2">
        <f t="shared" si="0"/>
        <v>1</v>
      </c>
      <c r="AH10" s="173">
        <f>D10-AG10</f>
        <v>2</v>
      </c>
    </row>
    <row r="11" spans="1:35" ht="35.25" hidden="1" x14ac:dyDescent="0.5">
      <c r="A11" s="127">
        <v>12</v>
      </c>
      <c r="B11" s="93" t="s">
        <v>892</v>
      </c>
      <c r="C11" s="26" t="s">
        <v>894</v>
      </c>
      <c r="D11" s="27">
        <v>25</v>
      </c>
      <c r="E11" s="171"/>
      <c r="F11" s="171">
        <v>1</v>
      </c>
      <c r="G11" s="171"/>
      <c r="H11" s="171"/>
      <c r="I11" s="171"/>
      <c r="J11" s="171"/>
      <c r="K11" s="171"/>
      <c r="L11" s="171"/>
      <c r="M11" s="171"/>
      <c r="N11" s="171">
        <f>4+3</f>
        <v>7</v>
      </c>
      <c r="O11" s="171"/>
      <c r="P11" s="171"/>
      <c r="Q11" s="171">
        <f>1+2</f>
        <v>3</v>
      </c>
      <c r="R11" s="171">
        <v>1</v>
      </c>
      <c r="S11" s="171"/>
      <c r="T11" s="171"/>
      <c r="U11" s="171"/>
      <c r="V11" s="171"/>
      <c r="W11" s="171">
        <f>3+2</f>
        <v>5</v>
      </c>
      <c r="X11" s="171">
        <f>1+2</f>
        <v>3</v>
      </c>
      <c r="Y11" s="171"/>
      <c r="Z11" s="171"/>
      <c r="AA11" s="171"/>
      <c r="AB11" s="171"/>
      <c r="AC11" s="171"/>
      <c r="AD11" s="171">
        <f>1+1+1+1</f>
        <v>4</v>
      </c>
      <c r="AE11" s="171">
        <v>1</v>
      </c>
      <c r="AF11" s="171"/>
      <c r="AG11" s="172">
        <f t="shared" si="0"/>
        <v>25</v>
      </c>
      <c r="AH11" s="173">
        <f>D11-AG11</f>
        <v>0</v>
      </c>
    </row>
    <row r="12" spans="1:35" ht="35.25" hidden="1" x14ac:dyDescent="0.5">
      <c r="A12" s="127">
        <v>13</v>
      </c>
      <c r="B12" s="93" t="s">
        <v>893</v>
      </c>
      <c r="C12" s="26" t="s">
        <v>895</v>
      </c>
      <c r="D12" s="27">
        <v>30</v>
      </c>
      <c r="E12" s="171"/>
      <c r="F12" s="171">
        <v>1</v>
      </c>
      <c r="G12" s="171"/>
      <c r="H12" s="171"/>
      <c r="I12" s="171"/>
      <c r="J12" s="171"/>
      <c r="K12" s="171"/>
      <c r="L12" s="171"/>
      <c r="M12" s="171"/>
      <c r="N12" s="171">
        <f>4+3</f>
        <v>7</v>
      </c>
      <c r="O12" s="171"/>
      <c r="P12" s="171"/>
      <c r="Q12" s="171">
        <f>1+2</f>
        <v>3</v>
      </c>
      <c r="R12" s="171">
        <v>2</v>
      </c>
      <c r="S12" s="171"/>
      <c r="T12" s="171"/>
      <c r="U12" s="171"/>
      <c r="V12" s="171"/>
      <c r="W12" s="171">
        <f>7+2</f>
        <v>9</v>
      </c>
      <c r="X12" s="171">
        <f>1+2</f>
        <v>3</v>
      </c>
      <c r="Y12" s="171">
        <v>1</v>
      </c>
      <c r="Z12" s="171"/>
      <c r="AA12" s="171"/>
      <c r="AB12" s="171"/>
      <c r="AC12" s="171"/>
      <c r="AD12" s="171">
        <v>2</v>
      </c>
      <c r="AE12" s="171">
        <v>1</v>
      </c>
      <c r="AF12" s="171">
        <v>1</v>
      </c>
      <c r="AG12" s="172">
        <f t="shared" si="0"/>
        <v>30</v>
      </c>
      <c r="AH12" s="173">
        <f>D12-AG12</f>
        <v>0</v>
      </c>
    </row>
    <row r="13" spans="1:35" ht="35.25" hidden="1" x14ac:dyDescent="0.5">
      <c r="A13" s="127">
        <v>19</v>
      </c>
      <c r="B13" s="92" t="s">
        <v>52</v>
      </c>
      <c r="C13" s="26" t="s">
        <v>53</v>
      </c>
      <c r="D13" s="25">
        <v>1</v>
      </c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>
        <v>1</v>
      </c>
      <c r="AG13" s="172">
        <f t="shared" si="0"/>
        <v>1</v>
      </c>
      <c r="AH13" s="173">
        <f>D13-AG13</f>
        <v>0</v>
      </c>
    </row>
    <row r="14" spans="1:35" ht="35.25" hidden="1" x14ac:dyDescent="0.5">
      <c r="A14" s="127">
        <v>23</v>
      </c>
      <c r="B14" s="95" t="s">
        <v>60</v>
      </c>
      <c r="C14" s="33" t="s">
        <v>61</v>
      </c>
      <c r="D14" s="34">
        <v>4</v>
      </c>
      <c r="E14" s="171"/>
      <c r="F14" s="171"/>
      <c r="G14" s="171"/>
      <c r="H14" s="171"/>
      <c r="I14" s="171"/>
      <c r="J14" s="171">
        <v>1</v>
      </c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>
        <v>1</v>
      </c>
      <c r="AG14" s="172">
        <f t="shared" si="0"/>
        <v>2</v>
      </c>
      <c r="AH14" s="173">
        <f>D14-AG14</f>
        <v>2</v>
      </c>
    </row>
    <row r="15" spans="1:35" ht="35.25" hidden="1" x14ac:dyDescent="0.5">
      <c r="A15" s="127">
        <v>24</v>
      </c>
      <c r="B15" s="94" t="s">
        <v>62</v>
      </c>
      <c r="C15" s="31" t="s">
        <v>63</v>
      </c>
      <c r="D15" s="32">
        <v>6</v>
      </c>
      <c r="E15" s="171"/>
      <c r="F15" s="171">
        <v>1</v>
      </c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>
        <v>3</v>
      </c>
      <c r="Y15" s="171"/>
      <c r="Z15" s="171"/>
      <c r="AA15" s="171"/>
      <c r="AB15" s="171"/>
      <c r="AC15" s="171"/>
      <c r="AD15" s="171">
        <v>1</v>
      </c>
      <c r="AE15" s="171"/>
      <c r="AF15" s="171"/>
      <c r="AG15" s="172">
        <f t="shared" si="0"/>
        <v>5</v>
      </c>
      <c r="AH15" s="173">
        <f>D15-AG15</f>
        <v>1</v>
      </c>
    </row>
    <row r="16" spans="1:35" ht="35.25" hidden="1" x14ac:dyDescent="0.5">
      <c r="A16" s="127">
        <v>25</v>
      </c>
      <c r="B16" s="95" t="s">
        <v>64</v>
      </c>
      <c r="C16" s="33" t="s">
        <v>65</v>
      </c>
      <c r="D16" s="34">
        <v>16</v>
      </c>
      <c r="E16" s="171"/>
      <c r="F16" s="171">
        <v>2</v>
      </c>
      <c r="G16" s="171"/>
      <c r="H16" s="171"/>
      <c r="I16" s="171"/>
      <c r="J16" s="171"/>
      <c r="K16" s="171"/>
      <c r="L16" s="171">
        <v>2</v>
      </c>
      <c r="M16" s="171">
        <v>1</v>
      </c>
      <c r="N16" s="171">
        <f>1+2</f>
        <v>3</v>
      </c>
      <c r="O16" s="171"/>
      <c r="P16" s="171"/>
      <c r="Q16" s="171"/>
      <c r="R16" s="171"/>
      <c r="S16" s="171"/>
      <c r="T16" s="171"/>
      <c r="U16" s="171"/>
      <c r="V16" s="171"/>
      <c r="W16" s="171">
        <f>1+2</f>
        <v>3</v>
      </c>
      <c r="X16" s="171">
        <f>1+2</f>
        <v>3</v>
      </c>
      <c r="Y16" s="171"/>
      <c r="Z16" s="171"/>
      <c r="AA16" s="171"/>
      <c r="AB16" s="171"/>
      <c r="AC16" s="171"/>
      <c r="AD16" s="171"/>
      <c r="AE16" s="171">
        <v>1</v>
      </c>
      <c r="AF16" s="171"/>
      <c r="AG16" s="172">
        <f t="shared" si="0"/>
        <v>15</v>
      </c>
      <c r="AH16" s="173">
        <f>D16-AG16</f>
        <v>1</v>
      </c>
    </row>
    <row r="17" spans="1:34" ht="35.25" hidden="1" x14ac:dyDescent="0.5">
      <c r="A17" s="127">
        <v>27</v>
      </c>
      <c r="B17" s="95" t="s">
        <v>68</v>
      </c>
      <c r="C17" s="33" t="s">
        <v>69</v>
      </c>
      <c r="D17" s="34">
        <v>2</v>
      </c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>
        <v>1</v>
      </c>
      <c r="Y17" s="171"/>
      <c r="Z17" s="171"/>
      <c r="AA17" s="171"/>
      <c r="AB17" s="171"/>
      <c r="AC17" s="171"/>
      <c r="AD17" s="171"/>
      <c r="AE17" s="171"/>
      <c r="AF17" s="171"/>
      <c r="AG17" s="172">
        <f t="shared" si="0"/>
        <v>1</v>
      </c>
      <c r="AH17" s="173">
        <f>D17-AG17</f>
        <v>1</v>
      </c>
    </row>
    <row r="18" spans="1:34" ht="35.25" hidden="1" x14ac:dyDescent="0.5">
      <c r="A18" s="127">
        <v>28</v>
      </c>
      <c r="B18" s="94" t="s">
        <v>70</v>
      </c>
      <c r="C18" s="31" t="s">
        <v>71</v>
      </c>
      <c r="D18" s="32">
        <v>14</v>
      </c>
      <c r="E18" s="171">
        <v>1</v>
      </c>
      <c r="F18" s="171"/>
      <c r="G18" s="171"/>
      <c r="H18" s="171"/>
      <c r="I18" s="171"/>
      <c r="J18" s="171">
        <v>2</v>
      </c>
      <c r="K18" s="171"/>
      <c r="L18" s="171">
        <v>2</v>
      </c>
      <c r="M18" s="171"/>
      <c r="N18" s="171">
        <v>1</v>
      </c>
      <c r="O18" s="171"/>
      <c r="P18" s="171"/>
      <c r="Q18" s="171"/>
      <c r="R18" s="171">
        <v>2</v>
      </c>
      <c r="S18" s="171"/>
      <c r="T18" s="171"/>
      <c r="U18" s="171"/>
      <c r="V18" s="171"/>
      <c r="W18" s="171">
        <v>2</v>
      </c>
      <c r="X18" s="171">
        <v>1</v>
      </c>
      <c r="Y18" s="171"/>
      <c r="Z18" s="171"/>
      <c r="AA18" s="171"/>
      <c r="AB18" s="171"/>
      <c r="AC18" s="171"/>
      <c r="AD18" s="171"/>
      <c r="AE18" s="171">
        <v>2</v>
      </c>
      <c r="AF18" s="171"/>
      <c r="AG18" s="172">
        <f t="shared" si="0"/>
        <v>12</v>
      </c>
      <c r="AH18" s="173">
        <f>D18-AG18</f>
        <v>2</v>
      </c>
    </row>
    <row r="19" spans="1:34" ht="35.25" hidden="1" x14ac:dyDescent="0.5">
      <c r="A19" s="127">
        <v>30</v>
      </c>
      <c r="B19" s="94" t="s">
        <v>74</v>
      </c>
      <c r="C19" s="31" t="s">
        <v>75</v>
      </c>
      <c r="D19" s="32">
        <v>2</v>
      </c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>
        <v>1</v>
      </c>
      <c r="X19" s="171">
        <v>1</v>
      </c>
      <c r="Y19" s="171"/>
      <c r="Z19" s="171"/>
      <c r="AA19" s="171"/>
      <c r="AB19" s="171"/>
      <c r="AC19" s="171"/>
      <c r="AD19" s="171"/>
      <c r="AE19" s="171"/>
      <c r="AF19" s="171"/>
      <c r="AG19" s="172">
        <f t="shared" si="0"/>
        <v>2</v>
      </c>
      <c r="AH19" s="173">
        <f>D19-AG19</f>
        <v>0</v>
      </c>
    </row>
    <row r="20" spans="1:34" ht="35.25" hidden="1" x14ac:dyDescent="0.5">
      <c r="A20" s="127">
        <v>31</v>
      </c>
      <c r="B20" s="95" t="s">
        <v>76</v>
      </c>
      <c r="C20" s="33" t="s">
        <v>77</v>
      </c>
      <c r="D20" s="34">
        <v>34</v>
      </c>
      <c r="E20" s="171"/>
      <c r="F20" s="171">
        <v>1</v>
      </c>
      <c r="G20" s="171"/>
      <c r="H20" s="171"/>
      <c r="I20" s="171">
        <v>2</v>
      </c>
      <c r="J20" s="171">
        <v>2</v>
      </c>
      <c r="K20" s="171"/>
      <c r="L20" s="171">
        <v>4</v>
      </c>
      <c r="M20" s="171"/>
      <c r="N20" s="171">
        <f>3+2</f>
        <v>5</v>
      </c>
      <c r="O20" s="171"/>
      <c r="P20" s="171"/>
      <c r="Q20" s="171"/>
      <c r="R20" s="171">
        <v>2</v>
      </c>
      <c r="S20" s="171">
        <v>1</v>
      </c>
      <c r="T20" s="171"/>
      <c r="U20" s="171"/>
      <c r="V20" s="171"/>
      <c r="W20" s="171">
        <v>5</v>
      </c>
      <c r="X20" s="171">
        <v>2</v>
      </c>
      <c r="Y20" s="171"/>
      <c r="Z20" s="171"/>
      <c r="AA20" s="171"/>
      <c r="AB20" s="171"/>
      <c r="AC20" s="171"/>
      <c r="AD20" s="171">
        <v>1</v>
      </c>
      <c r="AE20" s="171"/>
      <c r="AF20" s="171"/>
      <c r="AG20" s="172">
        <f t="shared" si="0"/>
        <v>25</v>
      </c>
      <c r="AH20" s="173">
        <f>D20-AG20</f>
        <v>9</v>
      </c>
    </row>
    <row r="21" spans="1:34" ht="35.25" hidden="1" x14ac:dyDescent="0.5">
      <c r="A21" s="127">
        <v>32</v>
      </c>
      <c r="B21" s="94" t="s">
        <v>78</v>
      </c>
      <c r="C21" s="31" t="s">
        <v>79</v>
      </c>
      <c r="D21" s="32">
        <v>37</v>
      </c>
      <c r="E21" s="171"/>
      <c r="F21" s="171">
        <v>1</v>
      </c>
      <c r="G21" s="171"/>
      <c r="H21" s="171"/>
      <c r="I21" s="171"/>
      <c r="J21" s="171"/>
      <c r="K21" s="171"/>
      <c r="L21" s="171">
        <v>1</v>
      </c>
      <c r="M21" s="171"/>
      <c r="N21" s="171">
        <v>4</v>
      </c>
      <c r="O21" s="171"/>
      <c r="P21" s="171"/>
      <c r="Q21" s="171"/>
      <c r="R21" s="171"/>
      <c r="S21" s="171"/>
      <c r="T21" s="171"/>
      <c r="U21" s="171"/>
      <c r="V21" s="171"/>
      <c r="W21" s="171"/>
      <c r="X21" s="171">
        <v>2</v>
      </c>
      <c r="Y21" s="171">
        <v>22</v>
      </c>
      <c r="Z21" s="171"/>
      <c r="AA21" s="171"/>
      <c r="AB21" s="171"/>
      <c r="AC21" s="171"/>
      <c r="AD21" s="171">
        <v>1</v>
      </c>
      <c r="AE21" s="171">
        <v>1</v>
      </c>
      <c r="AF21" s="171">
        <v>1</v>
      </c>
      <c r="AG21" s="172">
        <f t="shared" si="0"/>
        <v>33</v>
      </c>
      <c r="AH21" s="173">
        <f>D21-AG21</f>
        <v>4</v>
      </c>
    </row>
    <row r="22" spans="1:34" ht="35.25" hidden="1" x14ac:dyDescent="0.5">
      <c r="A22" s="127">
        <v>33</v>
      </c>
      <c r="B22" s="95" t="s">
        <v>80</v>
      </c>
      <c r="C22" s="33" t="s">
        <v>81</v>
      </c>
      <c r="D22" s="34">
        <v>5</v>
      </c>
      <c r="E22" s="171"/>
      <c r="F22" s="171"/>
      <c r="G22" s="171"/>
      <c r="H22" s="171"/>
      <c r="I22" s="171"/>
      <c r="J22" s="171">
        <v>1</v>
      </c>
      <c r="K22" s="171"/>
      <c r="L22" s="171"/>
      <c r="M22" s="171"/>
      <c r="N22" s="171"/>
      <c r="O22" s="171"/>
      <c r="P22" s="171"/>
      <c r="Q22" s="171">
        <v>1</v>
      </c>
      <c r="R22" s="171">
        <v>1</v>
      </c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>
        <v>1</v>
      </c>
      <c r="AG22" s="172">
        <f t="shared" si="0"/>
        <v>4</v>
      </c>
      <c r="AH22" s="173">
        <f>D22-AG22</f>
        <v>1</v>
      </c>
    </row>
    <row r="23" spans="1:34" ht="35.25" hidden="1" x14ac:dyDescent="0.5">
      <c r="A23" s="127">
        <v>34</v>
      </c>
      <c r="B23" s="94" t="s">
        <v>82</v>
      </c>
      <c r="C23" s="31" t="s">
        <v>81</v>
      </c>
      <c r="D23" s="32">
        <v>11</v>
      </c>
      <c r="E23" s="171"/>
      <c r="F23" s="171"/>
      <c r="G23" s="171"/>
      <c r="H23" s="171"/>
      <c r="I23" s="171"/>
      <c r="J23" s="171">
        <v>1</v>
      </c>
      <c r="K23" s="171"/>
      <c r="L23" s="171">
        <v>2</v>
      </c>
      <c r="M23" s="171"/>
      <c r="N23" s="171">
        <f>2+1</f>
        <v>3</v>
      </c>
      <c r="O23" s="171"/>
      <c r="P23" s="171"/>
      <c r="Q23" s="171"/>
      <c r="R23" s="171"/>
      <c r="S23" s="171"/>
      <c r="T23" s="171"/>
      <c r="U23" s="171"/>
      <c r="V23" s="171"/>
      <c r="W23" s="171">
        <v>1</v>
      </c>
      <c r="X23" s="171">
        <v>2</v>
      </c>
      <c r="Y23" s="171"/>
      <c r="Z23" s="171"/>
      <c r="AA23" s="171"/>
      <c r="AB23" s="171"/>
      <c r="AC23" s="171"/>
      <c r="AD23" s="171"/>
      <c r="AE23" s="171"/>
      <c r="AF23" s="171"/>
      <c r="AG23" s="172">
        <f t="shared" si="0"/>
        <v>9</v>
      </c>
      <c r="AH23" s="173">
        <f>D23-AG23</f>
        <v>2</v>
      </c>
    </row>
    <row r="24" spans="1:34" ht="35.25" hidden="1" x14ac:dyDescent="0.5">
      <c r="A24" s="127">
        <v>35</v>
      </c>
      <c r="B24" s="95" t="s">
        <v>1537</v>
      </c>
      <c r="C24" s="33" t="s">
        <v>84</v>
      </c>
      <c r="D24" s="34">
        <v>4</v>
      </c>
      <c r="E24" s="171"/>
      <c r="F24" s="171"/>
      <c r="G24" s="171"/>
      <c r="H24" s="171"/>
      <c r="I24" s="171"/>
      <c r="J24" s="171"/>
      <c r="K24" s="171"/>
      <c r="L24" s="171"/>
      <c r="M24" s="171"/>
      <c r="N24" s="171">
        <v>1</v>
      </c>
      <c r="O24" s="171"/>
      <c r="P24" s="171"/>
      <c r="Q24" s="171"/>
      <c r="R24" s="171"/>
      <c r="S24" s="171"/>
      <c r="T24" s="171"/>
      <c r="U24" s="171"/>
      <c r="V24" s="171"/>
      <c r="W24" s="171"/>
      <c r="X24" s="171">
        <v>1</v>
      </c>
      <c r="Y24" s="171"/>
      <c r="Z24" s="171"/>
      <c r="AA24" s="171"/>
      <c r="AB24" s="171"/>
      <c r="AC24" s="171"/>
      <c r="AD24" s="171">
        <v>1</v>
      </c>
      <c r="AE24" s="171"/>
      <c r="AF24" s="171"/>
      <c r="AG24" s="172">
        <f t="shared" si="0"/>
        <v>3</v>
      </c>
      <c r="AH24" s="173">
        <f>D24-AG24</f>
        <v>1</v>
      </c>
    </row>
    <row r="25" spans="1:34" ht="35.25" hidden="1" x14ac:dyDescent="0.5">
      <c r="A25" s="127">
        <v>36</v>
      </c>
      <c r="B25" s="94" t="s">
        <v>85</v>
      </c>
      <c r="C25" s="31" t="s">
        <v>86</v>
      </c>
      <c r="D25" s="32">
        <v>1</v>
      </c>
      <c r="E25" s="171"/>
      <c r="F25" s="171"/>
      <c r="G25" s="171"/>
      <c r="H25" s="171"/>
      <c r="I25" s="171"/>
      <c r="J25" s="171">
        <v>1</v>
      </c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2">
        <f t="shared" si="0"/>
        <v>1</v>
      </c>
      <c r="AH25" s="173">
        <f>D25-AG25</f>
        <v>0</v>
      </c>
    </row>
    <row r="26" spans="1:34" ht="35.25" hidden="1" x14ac:dyDescent="0.5">
      <c r="A26" s="127">
        <v>37</v>
      </c>
      <c r="B26" s="95" t="s">
        <v>87</v>
      </c>
      <c r="C26" s="33" t="s">
        <v>88</v>
      </c>
      <c r="D26" s="34">
        <v>1</v>
      </c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2">
        <f t="shared" si="0"/>
        <v>0</v>
      </c>
      <c r="AH26" s="173">
        <f>D26-AG26</f>
        <v>1</v>
      </c>
    </row>
    <row r="27" spans="1:34" ht="35.25" hidden="1" x14ac:dyDescent="0.5">
      <c r="A27" s="127">
        <v>38</v>
      </c>
      <c r="B27" s="94" t="s">
        <v>89</v>
      </c>
      <c r="C27" s="31" t="s">
        <v>90</v>
      </c>
      <c r="D27" s="32">
        <v>1</v>
      </c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>
        <v>1</v>
      </c>
      <c r="AC27" s="171"/>
      <c r="AD27" s="171"/>
      <c r="AE27" s="171"/>
      <c r="AF27" s="171"/>
      <c r="AG27" s="172">
        <f t="shared" si="0"/>
        <v>1</v>
      </c>
      <c r="AH27" s="173">
        <f>D27-AG27</f>
        <v>0</v>
      </c>
    </row>
    <row r="28" spans="1:34" ht="35.25" hidden="1" x14ac:dyDescent="0.5">
      <c r="A28" s="127">
        <v>39</v>
      </c>
      <c r="B28" s="95" t="s">
        <v>91</v>
      </c>
      <c r="C28" s="33" t="s">
        <v>92</v>
      </c>
      <c r="D28" s="34">
        <v>3</v>
      </c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>
        <v>1</v>
      </c>
      <c r="Y28" s="171"/>
      <c r="Z28" s="171"/>
      <c r="AA28" s="171"/>
      <c r="AB28" s="171"/>
      <c r="AC28" s="171"/>
      <c r="AD28" s="171"/>
      <c r="AE28" s="171"/>
      <c r="AF28" s="171"/>
      <c r="AG28" s="172">
        <f t="shared" si="0"/>
        <v>1</v>
      </c>
      <c r="AH28" s="173">
        <f>D28-AG28</f>
        <v>2</v>
      </c>
    </row>
    <row r="29" spans="1:34" ht="35.25" hidden="1" x14ac:dyDescent="0.5">
      <c r="A29" s="127">
        <v>40</v>
      </c>
      <c r="B29" s="94" t="s">
        <v>93</v>
      </c>
      <c r="C29" s="31" t="s">
        <v>94</v>
      </c>
      <c r="D29" s="32">
        <v>22</v>
      </c>
      <c r="E29" s="171"/>
      <c r="F29" s="171"/>
      <c r="G29" s="171"/>
      <c r="H29" s="171"/>
      <c r="I29" s="171"/>
      <c r="J29" s="171"/>
      <c r="K29" s="171"/>
      <c r="L29" s="171"/>
      <c r="M29" s="171"/>
      <c r="N29" s="171">
        <f>3+1</f>
        <v>4</v>
      </c>
      <c r="O29" s="171"/>
      <c r="P29" s="171"/>
      <c r="Q29" s="171"/>
      <c r="R29" s="171">
        <v>5</v>
      </c>
      <c r="S29" s="171"/>
      <c r="T29" s="171"/>
      <c r="U29" s="171"/>
      <c r="V29" s="171"/>
      <c r="W29" s="171">
        <v>3</v>
      </c>
      <c r="X29" s="171">
        <v>6</v>
      </c>
      <c r="Y29" s="171"/>
      <c r="Z29" s="171"/>
      <c r="AA29" s="171"/>
      <c r="AB29" s="171"/>
      <c r="AC29" s="171"/>
      <c r="AD29" s="171"/>
      <c r="AE29" s="171"/>
      <c r="AF29" s="171"/>
      <c r="AG29" s="172">
        <f t="shared" si="0"/>
        <v>18</v>
      </c>
      <c r="AH29" s="173">
        <f>D29-AG29</f>
        <v>4</v>
      </c>
    </row>
    <row r="30" spans="1:34" ht="35.25" hidden="1" x14ac:dyDescent="0.5">
      <c r="A30" s="127">
        <v>41</v>
      </c>
      <c r="B30" s="95" t="s">
        <v>95</v>
      </c>
      <c r="C30" s="33" t="s">
        <v>96</v>
      </c>
      <c r="D30" s="34">
        <v>17</v>
      </c>
      <c r="E30" s="171"/>
      <c r="F30" s="171">
        <v>3</v>
      </c>
      <c r="G30" s="171"/>
      <c r="H30" s="171"/>
      <c r="I30" s="171"/>
      <c r="J30" s="171"/>
      <c r="K30" s="171"/>
      <c r="L30" s="171"/>
      <c r="M30" s="171"/>
      <c r="N30" s="171">
        <f>5+2</f>
        <v>7</v>
      </c>
      <c r="O30" s="171"/>
      <c r="P30" s="171"/>
      <c r="Q30" s="171"/>
      <c r="R30" s="171"/>
      <c r="S30" s="171"/>
      <c r="T30" s="171"/>
      <c r="U30" s="171"/>
      <c r="V30" s="171"/>
      <c r="W30" s="171">
        <v>2</v>
      </c>
      <c r="X30" s="171">
        <v>3</v>
      </c>
      <c r="Y30" s="171"/>
      <c r="Z30" s="171"/>
      <c r="AA30" s="171"/>
      <c r="AB30" s="171"/>
      <c r="AC30" s="171"/>
      <c r="AD30" s="171"/>
      <c r="AE30" s="171"/>
      <c r="AF30" s="171"/>
      <c r="AG30" s="172">
        <f t="shared" si="0"/>
        <v>15</v>
      </c>
      <c r="AH30" s="173">
        <f>D30-AG30</f>
        <v>2</v>
      </c>
    </row>
    <row r="31" spans="1:34" ht="35.25" hidden="1" x14ac:dyDescent="0.5">
      <c r="A31" s="127">
        <v>42</v>
      </c>
      <c r="B31" s="94" t="s">
        <v>97</v>
      </c>
      <c r="C31" s="35" t="s">
        <v>98</v>
      </c>
      <c r="D31" s="32">
        <v>4</v>
      </c>
      <c r="E31" s="171"/>
      <c r="F31" s="171">
        <v>1</v>
      </c>
      <c r="G31" s="171"/>
      <c r="H31" s="171"/>
      <c r="I31" s="171"/>
      <c r="J31" s="171"/>
      <c r="K31" s="171"/>
      <c r="L31" s="171"/>
      <c r="M31" s="171"/>
      <c r="N31" s="171">
        <v>1</v>
      </c>
      <c r="O31" s="171"/>
      <c r="P31" s="171"/>
      <c r="Q31" s="171"/>
      <c r="R31" s="171"/>
      <c r="S31" s="171"/>
      <c r="T31" s="171"/>
      <c r="U31" s="171"/>
      <c r="V31" s="171"/>
      <c r="W31" s="171"/>
      <c r="X31" s="171">
        <v>1</v>
      </c>
      <c r="Y31" s="171"/>
      <c r="Z31" s="171"/>
      <c r="AA31" s="171"/>
      <c r="AB31" s="171"/>
      <c r="AC31" s="171"/>
      <c r="AD31" s="171"/>
      <c r="AE31" s="171"/>
      <c r="AF31" s="171"/>
      <c r="AG31" s="172">
        <f t="shared" si="0"/>
        <v>3</v>
      </c>
      <c r="AH31" s="173">
        <f>D31-AG31</f>
        <v>1</v>
      </c>
    </row>
    <row r="32" spans="1:34" ht="35.25" hidden="1" x14ac:dyDescent="0.5">
      <c r="A32" s="127">
        <v>43</v>
      </c>
      <c r="B32" s="95" t="s">
        <v>99</v>
      </c>
      <c r="C32" s="36" t="s">
        <v>100</v>
      </c>
      <c r="D32" s="34">
        <v>32</v>
      </c>
      <c r="E32" s="171"/>
      <c r="F32" s="171">
        <v>1</v>
      </c>
      <c r="G32" s="171"/>
      <c r="H32" s="171"/>
      <c r="I32" s="171"/>
      <c r="J32" s="171">
        <v>2</v>
      </c>
      <c r="K32" s="171"/>
      <c r="L32" s="171"/>
      <c r="M32" s="171">
        <v>2</v>
      </c>
      <c r="N32" s="171">
        <f>3+3</f>
        <v>6</v>
      </c>
      <c r="O32" s="171"/>
      <c r="P32" s="171"/>
      <c r="Q32" s="171"/>
      <c r="R32" s="171">
        <v>3</v>
      </c>
      <c r="S32" s="171"/>
      <c r="T32" s="171"/>
      <c r="U32" s="171"/>
      <c r="V32" s="171"/>
      <c r="W32" s="171">
        <f>1+6</f>
        <v>7</v>
      </c>
      <c r="X32" s="171">
        <v>6</v>
      </c>
      <c r="Y32" s="171"/>
      <c r="Z32" s="171"/>
      <c r="AA32" s="171"/>
      <c r="AB32" s="171"/>
      <c r="AC32" s="171"/>
      <c r="AD32" s="171">
        <v>3</v>
      </c>
      <c r="AE32" s="171"/>
      <c r="AF32" s="171"/>
      <c r="AG32" s="172">
        <f t="shared" si="0"/>
        <v>30</v>
      </c>
      <c r="AH32" s="173">
        <f>D32-AG32</f>
        <v>2</v>
      </c>
    </row>
    <row r="33" spans="1:34" ht="35.25" hidden="1" x14ac:dyDescent="0.5">
      <c r="A33" s="127">
        <v>44</v>
      </c>
      <c r="B33" s="94" t="s">
        <v>101</v>
      </c>
      <c r="C33" s="35" t="s">
        <v>102</v>
      </c>
      <c r="D33" s="32">
        <v>4</v>
      </c>
      <c r="E33" s="171"/>
      <c r="F33" s="171">
        <v>1</v>
      </c>
      <c r="G33" s="171"/>
      <c r="H33" s="171"/>
      <c r="I33" s="171"/>
      <c r="J33" s="171"/>
      <c r="K33" s="171"/>
      <c r="L33" s="171"/>
      <c r="M33" s="171"/>
      <c r="N33" s="171">
        <v>1</v>
      </c>
      <c r="O33" s="171"/>
      <c r="P33" s="171"/>
      <c r="Q33" s="171"/>
      <c r="R33" s="171"/>
      <c r="S33" s="171"/>
      <c r="T33" s="171"/>
      <c r="U33" s="171"/>
      <c r="V33" s="171"/>
      <c r="W33" s="171">
        <v>1</v>
      </c>
      <c r="X33" s="171">
        <v>1</v>
      </c>
      <c r="Y33" s="171"/>
      <c r="Z33" s="171"/>
      <c r="AA33" s="171"/>
      <c r="AB33" s="171"/>
      <c r="AC33" s="171"/>
      <c r="AD33" s="171"/>
      <c r="AE33" s="171"/>
      <c r="AF33" s="171"/>
      <c r="AG33" s="172">
        <f t="shared" si="0"/>
        <v>4</v>
      </c>
      <c r="AH33" s="173">
        <f>D33-AG33</f>
        <v>0</v>
      </c>
    </row>
    <row r="34" spans="1:34" ht="35.25" hidden="1" x14ac:dyDescent="0.5">
      <c r="A34" s="127">
        <v>45</v>
      </c>
      <c r="B34" s="95" t="s">
        <v>103</v>
      </c>
      <c r="C34" s="36" t="s">
        <v>102</v>
      </c>
      <c r="D34" s="34">
        <v>4</v>
      </c>
      <c r="E34" s="171"/>
      <c r="F34" s="171"/>
      <c r="G34" s="171"/>
      <c r="H34" s="171"/>
      <c r="I34" s="171"/>
      <c r="J34" s="171"/>
      <c r="K34" s="171"/>
      <c r="L34" s="171"/>
      <c r="M34" s="171"/>
      <c r="N34" s="171">
        <v>1</v>
      </c>
      <c r="O34" s="171"/>
      <c r="P34" s="171"/>
      <c r="Q34" s="171"/>
      <c r="R34" s="171"/>
      <c r="S34" s="171"/>
      <c r="T34" s="171"/>
      <c r="U34" s="171"/>
      <c r="V34" s="171"/>
      <c r="W34" s="171">
        <v>2</v>
      </c>
      <c r="X34" s="171">
        <v>1</v>
      </c>
      <c r="Y34" s="171"/>
      <c r="Z34" s="171"/>
      <c r="AA34" s="171"/>
      <c r="AB34" s="171"/>
      <c r="AC34" s="171"/>
      <c r="AD34" s="171"/>
      <c r="AE34" s="171"/>
      <c r="AF34" s="171"/>
      <c r="AG34" s="172">
        <f t="shared" si="0"/>
        <v>4</v>
      </c>
      <c r="AH34" s="173">
        <f>D34-AG34</f>
        <v>0</v>
      </c>
    </row>
    <row r="35" spans="1:34" ht="35.25" hidden="1" x14ac:dyDescent="0.5">
      <c r="A35" s="127">
        <v>46</v>
      </c>
      <c r="B35" s="94" t="s">
        <v>104</v>
      </c>
      <c r="C35" s="35" t="s">
        <v>105</v>
      </c>
      <c r="D35" s="32">
        <v>4</v>
      </c>
      <c r="E35" s="171"/>
      <c r="F35" s="171"/>
      <c r="G35" s="171"/>
      <c r="H35" s="171"/>
      <c r="I35" s="171"/>
      <c r="J35" s="171"/>
      <c r="K35" s="171"/>
      <c r="L35" s="171"/>
      <c r="M35" s="171"/>
      <c r="N35" s="171">
        <v>1</v>
      </c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>
        <v>1</v>
      </c>
      <c r="Z35" s="171"/>
      <c r="AA35" s="171"/>
      <c r="AB35" s="171"/>
      <c r="AC35" s="171"/>
      <c r="AD35" s="171"/>
      <c r="AE35" s="171"/>
      <c r="AF35" s="171">
        <v>2</v>
      </c>
      <c r="AG35" s="172">
        <f t="shared" si="0"/>
        <v>4</v>
      </c>
      <c r="AH35" s="173">
        <f>D35-AG35</f>
        <v>0</v>
      </c>
    </row>
    <row r="36" spans="1:34" ht="35.25" hidden="1" x14ac:dyDescent="0.5">
      <c r="A36" s="127">
        <v>47</v>
      </c>
      <c r="B36" s="95" t="s">
        <v>106</v>
      </c>
      <c r="C36" s="36" t="s">
        <v>107</v>
      </c>
      <c r="D36" s="34">
        <v>8</v>
      </c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>
        <v>1</v>
      </c>
      <c r="X36" s="171">
        <f>2+1</f>
        <v>3</v>
      </c>
      <c r="Y36" s="171"/>
      <c r="Z36" s="171"/>
      <c r="AA36" s="171"/>
      <c r="AB36" s="171"/>
      <c r="AC36" s="171"/>
      <c r="AD36" s="171">
        <v>2</v>
      </c>
      <c r="AE36" s="171"/>
      <c r="AF36" s="171">
        <v>2</v>
      </c>
      <c r="AG36" s="172">
        <f t="shared" si="0"/>
        <v>8</v>
      </c>
      <c r="AH36" s="173">
        <f>D36-AG36</f>
        <v>0</v>
      </c>
    </row>
    <row r="37" spans="1:34" ht="35.25" hidden="1" x14ac:dyDescent="0.5">
      <c r="A37" s="127">
        <v>48</v>
      </c>
      <c r="B37" s="94" t="s">
        <v>108</v>
      </c>
      <c r="C37" s="35" t="s">
        <v>109</v>
      </c>
      <c r="D37" s="32">
        <v>6</v>
      </c>
      <c r="E37" s="171"/>
      <c r="F37" s="171"/>
      <c r="G37" s="171"/>
      <c r="H37" s="171"/>
      <c r="I37" s="171"/>
      <c r="J37" s="171"/>
      <c r="K37" s="171"/>
      <c r="L37" s="171"/>
      <c r="M37" s="171"/>
      <c r="N37" s="171">
        <v>2</v>
      </c>
      <c r="O37" s="171"/>
      <c r="P37" s="171"/>
      <c r="Q37" s="171"/>
      <c r="R37" s="171"/>
      <c r="S37" s="171"/>
      <c r="T37" s="171"/>
      <c r="U37" s="171"/>
      <c r="V37" s="171"/>
      <c r="W37" s="171">
        <v>3</v>
      </c>
      <c r="X37" s="171">
        <v>1</v>
      </c>
      <c r="Y37" s="171"/>
      <c r="Z37" s="171"/>
      <c r="AA37" s="171"/>
      <c r="AB37" s="171"/>
      <c r="AC37" s="171"/>
      <c r="AD37" s="171"/>
      <c r="AE37" s="171"/>
      <c r="AF37" s="171"/>
      <c r="AG37" s="172">
        <f t="shared" si="0"/>
        <v>6</v>
      </c>
      <c r="AH37" s="173">
        <f>D37-AG37</f>
        <v>0</v>
      </c>
    </row>
    <row r="38" spans="1:34" ht="35.25" hidden="1" x14ac:dyDescent="0.5">
      <c r="A38" s="127">
        <v>49</v>
      </c>
      <c r="B38" s="95" t="s">
        <v>110</v>
      </c>
      <c r="C38" s="36" t="s">
        <v>102</v>
      </c>
      <c r="D38" s="34">
        <v>6</v>
      </c>
      <c r="E38" s="171"/>
      <c r="F38" s="171"/>
      <c r="G38" s="171"/>
      <c r="H38" s="171"/>
      <c r="I38" s="171"/>
      <c r="J38" s="171"/>
      <c r="K38" s="171"/>
      <c r="L38" s="171"/>
      <c r="M38" s="171"/>
      <c r="N38" s="171">
        <v>2</v>
      </c>
      <c r="O38" s="171"/>
      <c r="P38" s="171"/>
      <c r="Q38" s="171"/>
      <c r="R38" s="171"/>
      <c r="S38" s="171"/>
      <c r="T38" s="171"/>
      <c r="U38" s="171"/>
      <c r="V38" s="171"/>
      <c r="W38" s="171">
        <v>1</v>
      </c>
      <c r="X38" s="171">
        <v>1</v>
      </c>
      <c r="Y38" s="171"/>
      <c r="Z38" s="171"/>
      <c r="AA38" s="171"/>
      <c r="AB38" s="171"/>
      <c r="AC38" s="171"/>
      <c r="AD38" s="171"/>
      <c r="AE38" s="171"/>
      <c r="AF38" s="171">
        <v>1</v>
      </c>
      <c r="AG38" s="172">
        <f t="shared" si="0"/>
        <v>5</v>
      </c>
      <c r="AH38" s="173">
        <f>D38-AG38</f>
        <v>1</v>
      </c>
    </row>
    <row r="39" spans="1:34" ht="35.25" hidden="1" x14ac:dyDescent="0.5">
      <c r="A39" s="127">
        <v>50</v>
      </c>
      <c r="B39" s="94" t="s">
        <v>111</v>
      </c>
      <c r="C39" s="36" t="s">
        <v>102</v>
      </c>
      <c r="D39" s="32">
        <v>6</v>
      </c>
      <c r="E39" s="171"/>
      <c r="F39" s="171">
        <v>1</v>
      </c>
      <c r="G39" s="171"/>
      <c r="H39" s="171"/>
      <c r="I39" s="171"/>
      <c r="J39" s="171"/>
      <c r="K39" s="171"/>
      <c r="L39" s="171"/>
      <c r="M39" s="171"/>
      <c r="N39" s="171">
        <v>1</v>
      </c>
      <c r="O39" s="171"/>
      <c r="P39" s="171"/>
      <c r="Q39" s="171"/>
      <c r="R39" s="171"/>
      <c r="S39" s="171"/>
      <c r="T39" s="171"/>
      <c r="U39" s="171"/>
      <c r="V39" s="171"/>
      <c r="W39" s="171">
        <v>1</v>
      </c>
      <c r="X39" s="171">
        <v>1</v>
      </c>
      <c r="Y39" s="171"/>
      <c r="Z39" s="171"/>
      <c r="AA39" s="171"/>
      <c r="AB39" s="171"/>
      <c r="AC39" s="171"/>
      <c r="AD39" s="171">
        <f>1+1</f>
        <v>2</v>
      </c>
      <c r="AE39" s="171"/>
      <c r="AF39" s="171"/>
      <c r="AG39" s="172">
        <f t="shared" si="0"/>
        <v>6</v>
      </c>
      <c r="AH39" s="173">
        <f>D39-AG39</f>
        <v>0</v>
      </c>
    </row>
    <row r="40" spans="1:34" ht="35.25" hidden="1" x14ac:dyDescent="0.5">
      <c r="A40" s="127">
        <v>51</v>
      </c>
      <c r="B40" s="95" t="s">
        <v>112</v>
      </c>
      <c r="C40" s="36" t="s">
        <v>113</v>
      </c>
      <c r="D40" s="34">
        <v>5</v>
      </c>
      <c r="E40" s="171"/>
      <c r="F40" s="171"/>
      <c r="G40" s="171"/>
      <c r="H40" s="171"/>
      <c r="I40" s="171"/>
      <c r="J40" s="171">
        <v>1</v>
      </c>
      <c r="K40" s="171"/>
      <c r="L40" s="171"/>
      <c r="M40" s="171"/>
      <c r="N40" s="171">
        <v>1</v>
      </c>
      <c r="O40" s="171"/>
      <c r="P40" s="171"/>
      <c r="Q40" s="171"/>
      <c r="R40" s="171"/>
      <c r="S40" s="171"/>
      <c r="T40" s="171"/>
      <c r="U40" s="171"/>
      <c r="V40" s="171"/>
      <c r="W40" s="171">
        <v>2</v>
      </c>
      <c r="X40" s="171"/>
      <c r="Y40" s="171"/>
      <c r="Z40" s="171"/>
      <c r="AA40" s="171"/>
      <c r="AB40" s="171"/>
      <c r="AC40" s="171"/>
      <c r="AD40" s="171"/>
      <c r="AE40" s="171"/>
      <c r="AF40" s="171"/>
      <c r="AG40" s="172">
        <f t="shared" si="0"/>
        <v>4</v>
      </c>
      <c r="AH40" s="173">
        <f>D40-AG40</f>
        <v>1</v>
      </c>
    </row>
    <row r="41" spans="1:34" ht="35.25" hidden="1" x14ac:dyDescent="0.5">
      <c r="A41" s="127">
        <v>52</v>
      </c>
      <c r="B41" s="94" t="s">
        <v>114</v>
      </c>
      <c r="C41" s="35" t="s">
        <v>115</v>
      </c>
      <c r="D41" s="32">
        <v>3</v>
      </c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>
        <v>1</v>
      </c>
      <c r="R41" s="171"/>
      <c r="S41" s="171"/>
      <c r="T41" s="171"/>
      <c r="U41" s="171"/>
      <c r="V41" s="171"/>
      <c r="W41" s="171"/>
      <c r="X41" s="171">
        <v>1</v>
      </c>
      <c r="Y41" s="171"/>
      <c r="Z41" s="171"/>
      <c r="AA41" s="171"/>
      <c r="AB41" s="171"/>
      <c r="AC41" s="171"/>
      <c r="AD41" s="171"/>
      <c r="AE41" s="171"/>
      <c r="AF41" s="171"/>
      <c r="AG41" s="172">
        <f t="shared" si="0"/>
        <v>2</v>
      </c>
      <c r="AH41" s="173">
        <f>D41-AG41</f>
        <v>1</v>
      </c>
    </row>
    <row r="42" spans="1:34" ht="35.25" hidden="1" x14ac:dyDescent="0.5">
      <c r="A42" s="127">
        <v>53</v>
      </c>
      <c r="B42" s="95" t="s">
        <v>116</v>
      </c>
      <c r="C42" s="36" t="s">
        <v>117</v>
      </c>
      <c r="D42" s="34">
        <v>6</v>
      </c>
      <c r="E42" s="171"/>
      <c r="F42" s="171"/>
      <c r="G42" s="171"/>
      <c r="H42" s="171"/>
      <c r="I42" s="171"/>
      <c r="J42" s="171"/>
      <c r="K42" s="171"/>
      <c r="L42" s="171">
        <v>2</v>
      </c>
      <c r="M42" s="171">
        <v>1</v>
      </c>
      <c r="N42" s="171"/>
      <c r="O42" s="171"/>
      <c r="P42" s="171"/>
      <c r="Q42" s="171">
        <v>1</v>
      </c>
      <c r="R42" s="171">
        <v>1</v>
      </c>
      <c r="S42" s="171"/>
      <c r="T42" s="171"/>
      <c r="U42" s="171"/>
      <c r="V42" s="171"/>
      <c r="W42" s="171">
        <v>1</v>
      </c>
      <c r="X42" s="171"/>
      <c r="Y42" s="171"/>
      <c r="Z42" s="171"/>
      <c r="AA42" s="171"/>
      <c r="AB42" s="171"/>
      <c r="AC42" s="171"/>
      <c r="AD42" s="171"/>
      <c r="AE42" s="171"/>
      <c r="AF42" s="171"/>
      <c r="AG42" s="172">
        <f t="shared" si="0"/>
        <v>6</v>
      </c>
      <c r="AH42" s="173">
        <f>D42-AG42</f>
        <v>0</v>
      </c>
    </row>
    <row r="43" spans="1:34" ht="35.25" hidden="1" x14ac:dyDescent="0.5">
      <c r="A43" s="127">
        <v>54</v>
      </c>
      <c r="B43" s="94" t="s">
        <v>118</v>
      </c>
      <c r="C43" s="35" t="s">
        <v>119</v>
      </c>
      <c r="D43" s="32">
        <v>56</v>
      </c>
      <c r="E43" s="171"/>
      <c r="F43" s="171"/>
      <c r="G43" s="171">
        <v>2</v>
      </c>
      <c r="H43" s="171"/>
      <c r="I43" s="171"/>
      <c r="J43" s="171">
        <v>5</v>
      </c>
      <c r="K43" s="171"/>
      <c r="L43" s="171">
        <v>3</v>
      </c>
      <c r="M43" s="171">
        <v>5</v>
      </c>
      <c r="N43" s="171">
        <v>5</v>
      </c>
      <c r="O43" s="171"/>
      <c r="P43" s="171"/>
      <c r="Q43" s="171"/>
      <c r="R43" s="171">
        <v>5</v>
      </c>
      <c r="S43" s="171"/>
      <c r="T43" s="171"/>
      <c r="U43" s="171"/>
      <c r="V43" s="171"/>
      <c r="W43" s="171">
        <v>6</v>
      </c>
      <c r="X43" s="171">
        <v>10</v>
      </c>
      <c r="Y43" s="171"/>
      <c r="Z43" s="171"/>
      <c r="AA43" s="171"/>
      <c r="AB43" s="171"/>
      <c r="AC43" s="171"/>
      <c r="AD43" s="171">
        <v>1</v>
      </c>
      <c r="AE43" s="171"/>
      <c r="AF43" s="171"/>
      <c r="AG43" s="172">
        <f t="shared" si="0"/>
        <v>42</v>
      </c>
      <c r="AH43" s="173">
        <f>D43-AG43</f>
        <v>14</v>
      </c>
    </row>
    <row r="44" spans="1:34" ht="35.25" hidden="1" x14ac:dyDescent="0.5">
      <c r="A44" s="127">
        <v>55</v>
      </c>
      <c r="B44" s="95" t="s">
        <v>130</v>
      </c>
      <c r="C44" s="36" t="s">
        <v>121</v>
      </c>
      <c r="D44" s="34">
        <v>207</v>
      </c>
      <c r="E44" s="171">
        <v>2</v>
      </c>
      <c r="F44" s="171"/>
      <c r="G44" s="171">
        <v>3</v>
      </c>
      <c r="H44" s="171"/>
      <c r="I44" s="171">
        <v>2</v>
      </c>
      <c r="J44" s="171">
        <v>11</v>
      </c>
      <c r="K44" s="171"/>
      <c r="L44" s="171">
        <v>10</v>
      </c>
      <c r="M44" s="171">
        <v>5</v>
      </c>
      <c r="N44" s="171">
        <v>5</v>
      </c>
      <c r="O44" s="171"/>
      <c r="P44" s="171"/>
      <c r="Q44" s="171">
        <v>4</v>
      </c>
      <c r="R44" s="171">
        <v>5</v>
      </c>
      <c r="S44" s="171">
        <v>2</v>
      </c>
      <c r="T44" s="171"/>
      <c r="U44" s="171"/>
      <c r="V44" s="171"/>
      <c r="W44" s="171">
        <v>14</v>
      </c>
      <c r="X44" s="171">
        <v>4</v>
      </c>
      <c r="Y44" s="171"/>
      <c r="Z44" s="171"/>
      <c r="AA44" s="171"/>
      <c r="AB44" s="171"/>
      <c r="AC44" s="171"/>
      <c r="AD44" s="171"/>
      <c r="AE44" s="171"/>
      <c r="AF44" s="171">
        <v>1</v>
      </c>
      <c r="AG44" s="172">
        <f t="shared" si="0"/>
        <v>66</v>
      </c>
      <c r="AH44" s="173">
        <f>D44-AG44</f>
        <v>141</v>
      </c>
    </row>
    <row r="45" spans="1:34" ht="35.25" hidden="1" x14ac:dyDescent="0.5">
      <c r="A45" s="127">
        <v>56</v>
      </c>
      <c r="B45" s="94" t="s">
        <v>122</v>
      </c>
      <c r="C45" s="35" t="s">
        <v>123</v>
      </c>
      <c r="D45" s="32">
        <v>9</v>
      </c>
      <c r="E45" s="171"/>
      <c r="F45" s="171"/>
      <c r="G45" s="171"/>
      <c r="H45" s="171"/>
      <c r="I45" s="171"/>
      <c r="J45" s="171"/>
      <c r="K45" s="171"/>
      <c r="L45" s="171">
        <v>2</v>
      </c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>
        <v>6</v>
      </c>
      <c r="Y45" s="171"/>
      <c r="Z45" s="171"/>
      <c r="AA45" s="171"/>
      <c r="AB45" s="171"/>
      <c r="AC45" s="171"/>
      <c r="AD45" s="171"/>
      <c r="AE45" s="171"/>
      <c r="AF45" s="171">
        <v>1</v>
      </c>
      <c r="AG45" s="172">
        <f t="shared" si="0"/>
        <v>9</v>
      </c>
      <c r="AH45" s="173">
        <f>D45-AG45</f>
        <v>0</v>
      </c>
    </row>
    <row r="46" spans="1:34" ht="35.25" hidden="1" x14ac:dyDescent="0.5">
      <c r="A46" s="127">
        <v>57</v>
      </c>
      <c r="B46" s="95" t="s">
        <v>124</v>
      </c>
      <c r="C46" s="36" t="s">
        <v>125</v>
      </c>
      <c r="D46" s="34">
        <v>82</v>
      </c>
      <c r="E46" s="171">
        <v>2</v>
      </c>
      <c r="F46" s="171"/>
      <c r="G46" s="171">
        <v>2</v>
      </c>
      <c r="H46" s="171"/>
      <c r="I46" s="171">
        <v>2</v>
      </c>
      <c r="J46" s="171">
        <v>8</v>
      </c>
      <c r="K46" s="171"/>
      <c r="L46" s="171">
        <v>10</v>
      </c>
      <c r="M46" s="171">
        <v>5</v>
      </c>
      <c r="N46" s="171">
        <v>3</v>
      </c>
      <c r="O46" s="171"/>
      <c r="P46" s="171"/>
      <c r="Q46" s="171"/>
      <c r="R46" s="171">
        <v>5</v>
      </c>
      <c r="S46" s="171">
        <v>2</v>
      </c>
      <c r="T46" s="171"/>
      <c r="U46" s="171"/>
      <c r="V46" s="171"/>
      <c r="W46" s="171"/>
      <c r="X46" s="171">
        <v>2</v>
      </c>
      <c r="Y46" s="171"/>
      <c r="Z46" s="171"/>
      <c r="AA46" s="171"/>
      <c r="AB46" s="171"/>
      <c r="AC46" s="171"/>
      <c r="AD46" s="171"/>
      <c r="AE46" s="171"/>
      <c r="AF46" s="171">
        <v>1</v>
      </c>
      <c r="AG46" s="172">
        <f t="shared" si="0"/>
        <v>40</v>
      </c>
      <c r="AH46" s="173">
        <f>D46-AG46</f>
        <v>42</v>
      </c>
    </row>
    <row r="47" spans="1:34" ht="35.25" hidden="1" x14ac:dyDescent="0.5">
      <c r="A47" s="127">
        <v>58</v>
      </c>
      <c r="B47" s="94" t="s">
        <v>126</v>
      </c>
      <c r="C47" s="35" t="s">
        <v>127</v>
      </c>
      <c r="D47" s="32">
        <v>24</v>
      </c>
      <c r="E47" s="171"/>
      <c r="F47" s="171"/>
      <c r="G47" s="171"/>
      <c r="H47" s="171"/>
      <c r="I47" s="171"/>
      <c r="J47" s="171"/>
      <c r="K47" s="171"/>
      <c r="L47" s="171">
        <v>7</v>
      </c>
      <c r="M47" s="171"/>
      <c r="N47" s="171">
        <v>4</v>
      </c>
      <c r="O47" s="171"/>
      <c r="P47" s="171">
        <v>2</v>
      </c>
      <c r="Q47" s="171">
        <v>4</v>
      </c>
      <c r="R47" s="171"/>
      <c r="S47" s="171"/>
      <c r="T47" s="171"/>
      <c r="U47" s="171"/>
      <c r="V47" s="171"/>
      <c r="W47" s="171">
        <v>1</v>
      </c>
      <c r="X47" s="171"/>
      <c r="Y47" s="171"/>
      <c r="Z47" s="171"/>
      <c r="AA47" s="171"/>
      <c r="AB47" s="171"/>
      <c r="AC47" s="171">
        <v>6</v>
      </c>
      <c r="AD47" s="171"/>
      <c r="AE47" s="171"/>
      <c r="AF47" s="171"/>
      <c r="AG47" s="172">
        <f t="shared" si="0"/>
        <v>24</v>
      </c>
      <c r="AH47" s="173">
        <f>D47-AG47</f>
        <v>0</v>
      </c>
    </row>
    <row r="48" spans="1:34" ht="35.25" hidden="1" x14ac:dyDescent="0.5">
      <c r="A48" s="127">
        <v>59</v>
      </c>
      <c r="B48" s="94" t="s">
        <v>128</v>
      </c>
      <c r="C48" s="35" t="s">
        <v>129</v>
      </c>
      <c r="D48" s="32">
        <v>42</v>
      </c>
      <c r="E48" s="171">
        <v>5</v>
      </c>
      <c r="F48" s="171">
        <v>1</v>
      </c>
      <c r="G48" s="171"/>
      <c r="H48" s="171"/>
      <c r="I48" s="171"/>
      <c r="J48" s="171">
        <v>1</v>
      </c>
      <c r="K48" s="171">
        <v>4</v>
      </c>
      <c r="L48" s="171"/>
      <c r="M48" s="171"/>
      <c r="N48" s="171"/>
      <c r="O48" s="171"/>
      <c r="P48" s="171"/>
      <c r="Q48" s="171"/>
      <c r="R48" s="171">
        <v>3</v>
      </c>
      <c r="S48" s="171">
        <v>4</v>
      </c>
      <c r="T48" s="171"/>
      <c r="U48" s="171"/>
      <c r="V48" s="171"/>
      <c r="W48" s="171">
        <v>5</v>
      </c>
      <c r="X48" s="171">
        <f>5+5</f>
        <v>10</v>
      </c>
      <c r="Y48" s="171"/>
      <c r="Z48" s="171"/>
      <c r="AA48" s="171"/>
      <c r="AB48" s="171"/>
      <c r="AC48" s="171"/>
      <c r="AD48" s="171"/>
      <c r="AE48" s="171"/>
      <c r="AF48" s="171"/>
      <c r="AG48" s="172">
        <f t="shared" si="0"/>
        <v>28</v>
      </c>
      <c r="AH48" s="173">
        <f>D48-AG48</f>
        <v>14</v>
      </c>
    </row>
    <row r="49" spans="1:35" ht="35.25" hidden="1" x14ac:dyDescent="0.5">
      <c r="A49" s="127">
        <v>60</v>
      </c>
      <c r="B49" s="94" t="s">
        <v>132</v>
      </c>
      <c r="C49" s="35" t="s">
        <v>133</v>
      </c>
      <c r="D49" s="32">
        <v>62</v>
      </c>
      <c r="E49" s="171"/>
      <c r="F49" s="171">
        <v>4</v>
      </c>
      <c r="G49" s="171"/>
      <c r="H49" s="171"/>
      <c r="I49" s="171"/>
      <c r="J49" s="171">
        <v>7</v>
      </c>
      <c r="K49" s="171"/>
      <c r="L49" s="171"/>
      <c r="M49" s="171">
        <f>5+2</f>
        <v>7</v>
      </c>
      <c r="N49" s="171">
        <v>7</v>
      </c>
      <c r="O49" s="171"/>
      <c r="P49" s="171"/>
      <c r="Q49" s="171">
        <v>5</v>
      </c>
      <c r="R49" s="171">
        <v>4</v>
      </c>
      <c r="S49" s="171"/>
      <c r="T49" s="171"/>
      <c r="U49" s="171"/>
      <c r="V49" s="171"/>
      <c r="W49" s="171">
        <v>5</v>
      </c>
      <c r="X49" s="171">
        <v>4</v>
      </c>
      <c r="Y49" s="171"/>
      <c r="Z49" s="171"/>
      <c r="AA49" s="171"/>
      <c r="AB49" s="171">
        <v>1</v>
      </c>
      <c r="AC49" s="171"/>
      <c r="AD49" s="171"/>
      <c r="AE49" s="171"/>
      <c r="AF49" s="171">
        <v>6</v>
      </c>
      <c r="AG49" s="172">
        <f t="shared" si="0"/>
        <v>50</v>
      </c>
      <c r="AH49" s="173">
        <f>D49-AG49</f>
        <v>12</v>
      </c>
    </row>
    <row r="50" spans="1:35" ht="35.25" hidden="1" x14ac:dyDescent="0.5">
      <c r="A50" s="127">
        <v>61</v>
      </c>
      <c r="B50" s="94" t="s">
        <v>134</v>
      </c>
      <c r="C50" s="35" t="s">
        <v>135</v>
      </c>
      <c r="D50" s="32">
        <v>3</v>
      </c>
      <c r="E50" s="171"/>
      <c r="F50" s="171"/>
      <c r="G50" s="171"/>
      <c r="H50" s="171"/>
      <c r="I50" s="171"/>
      <c r="J50" s="171"/>
      <c r="K50" s="171"/>
      <c r="L50" s="171">
        <v>1</v>
      </c>
      <c r="M50" s="171"/>
      <c r="N50" s="171"/>
      <c r="O50" s="171"/>
      <c r="P50" s="171"/>
      <c r="Q50" s="171"/>
      <c r="R50" s="171">
        <v>1</v>
      </c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2">
        <f t="shared" si="0"/>
        <v>2</v>
      </c>
      <c r="AH50" s="173">
        <f>D50-AG50</f>
        <v>1</v>
      </c>
    </row>
    <row r="51" spans="1:35" ht="35.25" hidden="1" x14ac:dyDescent="0.5">
      <c r="A51" s="127">
        <v>62</v>
      </c>
      <c r="B51" s="95" t="s">
        <v>136</v>
      </c>
      <c r="C51" s="36" t="s">
        <v>137</v>
      </c>
      <c r="D51" s="34">
        <v>2</v>
      </c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>
        <v>1</v>
      </c>
      <c r="R51" s="171"/>
      <c r="S51" s="171"/>
      <c r="T51" s="171"/>
      <c r="U51" s="171"/>
      <c r="V51" s="171"/>
      <c r="W51" s="171"/>
      <c r="X51" s="171">
        <v>1</v>
      </c>
      <c r="Y51" s="171"/>
      <c r="Z51" s="171"/>
      <c r="AA51" s="171"/>
      <c r="AB51" s="171"/>
      <c r="AC51" s="171"/>
      <c r="AD51" s="171"/>
      <c r="AE51" s="171"/>
      <c r="AF51" s="171"/>
      <c r="AG51" s="172">
        <f t="shared" si="0"/>
        <v>2</v>
      </c>
      <c r="AH51" s="173">
        <f>D51-AG51</f>
        <v>0</v>
      </c>
    </row>
    <row r="52" spans="1:35" ht="35.25" hidden="1" x14ac:dyDescent="0.5">
      <c r="A52" s="127">
        <v>63</v>
      </c>
      <c r="B52" s="94" t="s">
        <v>138</v>
      </c>
      <c r="C52" s="35" t="s">
        <v>139</v>
      </c>
      <c r="D52" s="32">
        <v>2</v>
      </c>
      <c r="E52" s="171"/>
      <c r="F52" s="171">
        <v>1</v>
      </c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>
        <v>1</v>
      </c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2">
        <f t="shared" si="0"/>
        <v>2</v>
      </c>
      <c r="AH52" s="173">
        <f>D52-AG52</f>
        <v>0</v>
      </c>
    </row>
    <row r="53" spans="1:35" ht="35.25" hidden="1" x14ac:dyDescent="0.5">
      <c r="A53" s="127">
        <v>64</v>
      </c>
      <c r="B53" s="95" t="s">
        <v>140</v>
      </c>
      <c r="C53" s="36" t="s">
        <v>141</v>
      </c>
      <c r="D53" s="34">
        <v>2</v>
      </c>
      <c r="E53" s="171"/>
      <c r="F53" s="171">
        <v>1</v>
      </c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>
        <v>1</v>
      </c>
      <c r="Y53" s="171"/>
      <c r="Z53" s="171"/>
      <c r="AA53" s="171"/>
      <c r="AB53" s="171"/>
      <c r="AC53" s="171"/>
      <c r="AD53" s="171"/>
      <c r="AE53" s="171"/>
      <c r="AF53" s="171"/>
      <c r="AG53" s="172">
        <f t="shared" si="0"/>
        <v>2</v>
      </c>
      <c r="AH53" s="173">
        <f>D53-AG53</f>
        <v>0</v>
      </c>
    </row>
    <row r="54" spans="1:35" ht="35.25" hidden="1" x14ac:dyDescent="0.5">
      <c r="A54" s="127">
        <v>65</v>
      </c>
      <c r="B54" s="94" t="s">
        <v>142</v>
      </c>
      <c r="C54" s="35" t="s">
        <v>141</v>
      </c>
      <c r="D54" s="32">
        <v>2</v>
      </c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2">
        <f t="shared" ref="AG54:AG109" si="1">SUM(F54:AF54)</f>
        <v>0</v>
      </c>
      <c r="AH54" s="173">
        <f>D54-AG54</f>
        <v>2</v>
      </c>
    </row>
    <row r="55" spans="1:35" ht="35.25" hidden="1" x14ac:dyDescent="0.5">
      <c r="A55" s="127">
        <v>66</v>
      </c>
      <c r="B55" s="95" t="s">
        <v>143</v>
      </c>
      <c r="C55" s="36" t="s">
        <v>144</v>
      </c>
      <c r="D55" s="34">
        <v>21</v>
      </c>
      <c r="E55" s="171"/>
      <c r="F55" s="171"/>
      <c r="G55" s="171"/>
      <c r="H55" s="171"/>
      <c r="I55" s="171"/>
      <c r="J55" s="171">
        <v>2</v>
      </c>
      <c r="K55" s="171"/>
      <c r="L55" s="171">
        <v>1</v>
      </c>
      <c r="M55" s="171">
        <v>1</v>
      </c>
      <c r="N55" s="171">
        <f>2+1</f>
        <v>3</v>
      </c>
      <c r="O55" s="171"/>
      <c r="P55" s="171"/>
      <c r="Q55" s="171"/>
      <c r="R55" s="171">
        <v>1</v>
      </c>
      <c r="S55" s="171">
        <v>1</v>
      </c>
      <c r="T55" s="171"/>
      <c r="U55" s="171"/>
      <c r="V55" s="171"/>
      <c r="W55" s="171">
        <f>1+2</f>
        <v>3</v>
      </c>
      <c r="X55" s="171">
        <f>1+2</f>
        <v>3</v>
      </c>
      <c r="Y55" s="171"/>
      <c r="Z55" s="171"/>
      <c r="AA55" s="171"/>
      <c r="AB55" s="171"/>
      <c r="AC55" s="171"/>
      <c r="AD55" s="171"/>
      <c r="AE55" s="171"/>
      <c r="AF55" s="171"/>
      <c r="AG55" s="172">
        <f t="shared" si="1"/>
        <v>15</v>
      </c>
      <c r="AH55" s="173">
        <f>D55-AG55</f>
        <v>6</v>
      </c>
    </row>
    <row r="56" spans="1:35" ht="35.25" hidden="1" x14ac:dyDescent="0.5">
      <c r="A56" s="127">
        <v>67</v>
      </c>
      <c r="B56" s="95" t="s">
        <v>147</v>
      </c>
      <c r="C56" s="36" t="s">
        <v>148</v>
      </c>
      <c r="D56" s="34">
        <v>23</v>
      </c>
      <c r="E56" s="171">
        <v>2</v>
      </c>
      <c r="F56" s="171"/>
      <c r="G56" s="171">
        <v>1</v>
      </c>
      <c r="H56" s="171"/>
      <c r="I56" s="171">
        <v>2</v>
      </c>
      <c r="J56" s="171">
        <v>2</v>
      </c>
      <c r="K56" s="171"/>
      <c r="L56" s="171">
        <v>1</v>
      </c>
      <c r="M56" s="171">
        <v>1</v>
      </c>
      <c r="N56" s="171">
        <f>3+2</f>
        <v>5</v>
      </c>
      <c r="O56" s="171"/>
      <c r="P56" s="171"/>
      <c r="Q56" s="171">
        <v>2</v>
      </c>
      <c r="R56" s="171">
        <v>2</v>
      </c>
      <c r="S56" s="171">
        <v>3</v>
      </c>
      <c r="T56" s="171"/>
      <c r="U56" s="171"/>
      <c r="V56" s="171"/>
      <c r="W56" s="171">
        <f>1+2</f>
        <v>3</v>
      </c>
      <c r="X56" s="171">
        <v>2</v>
      </c>
      <c r="Y56" s="171"/>
      <c r="Z56" s="171"/>
      <c r="AA56" s="171"/>
      <c r="AB56" s="171"/>
      <c r="AC56" s="171"/>
      <c r="AD56" s="171"/>
      <c r="AE56" s="171"/>
      <c r="AF56" s="171"/>
      <c r="AG56" s="172">
        <f t="shared" si="1"/>
        <v>24</v>
      </c>
      <c r="AH56" s="173">
        <f>D56-AG56</f>
        <v>-1</v>
      </c>
    </row>
    <row r="57" spans="1:35" ht="35.25" hidden="1" x14ac:dyDescent="0.5">
      <c r="A57" s="127">
        <v>68</v>
      </c>
      <c r="B57" s="94" t="s">
        <v>149</v>
      </c>
      <c r="C57" s="35" t="s">
        <v>150</v>
      </c>
      <c r="D57" s="32">
        <v>51</v>
      </c>
      <c r="E57" s="171">
        <v>1</v>
      </c>
      <c r="F57" s="171">
        <v>1</v>
      </c>
      <c r="G57" s="171">
        <v>2</v>
      </c>
      <c r="H57" s="171"/>
      <c r="I57" s="171">
        <v>2</v>
      </c>
      <c r="J57" s="171">
        <v>1</v>
      </c>
      <c r="K57" s="171">
        <v>1</v>
      </c>
      <c r="L57" s="171">
        <v>3</v>
      </c>
      <c r="M57" s="171"/>
      <c r="N57" s="171">
        <v>8</v>
      </c>
      <c r="O57" s="171"/>
      <c r="P57" s="171"/>
      <c r="Q57" s="171">
        <v>3</v>
      </c>
      <c r="R57" s="171">
        <v>2</v>
      </c>
      <c r="S57" s="171">
        <v>3</v>
      </c>
      <c r="T57" s="171">
        <v>2</v>
      </c>
      <c r="U57" s="171"/>
      <c r="V57" s="171"/>
      <c r="W57" s="171">
        <f>2+2</f>
        <v>4</v>
      </c>
      <c r="X57" s="171">
        <v>8</v>
      </c>
      <c r="Y57" s="171"/>
      <c r="Z57" s="171"/>
      <c r="AA57" s="171"/>
      <c r="AB57" s="171"/>
      <c r="AC57" s="171"/>
      <c r="AD57" s="171"/>
      <c r="AE57" s="171"/>
      <c r="AF57" s="171"/>
      <c r="AG57" s="172">
        <f t="shared" si="1"/>
        <v>40</v>
      </c>
      <c r="AH57" s="173">
        <f>D57-AG57</f>
        <v>11</v>
      </c>
    </row>
    <row r="58" spans="1:35" ht="35.25" hidden="1" x14ac:dyDescent="0.5">
      <c r="A58" s="127">
        <v>69</v>
      </c>
      <c r="B58" s="95" t="s">
        <v>151</v>
      </c>
      <c r="C58" s="36" t="s">
        <v>152</v>
      </c>
      <c r="D58" s="34">
        <v>48</v>
      </c>
      <c r="E58" s="171">
        <v>1</v>
      </c>
      <c r="F58" s="171">
        <v>1</v>
      </c>
      <c r="G58" s="171">
        <v>2</v>
      </c>
      <c r="H58" s="171"/>
      <c r="I58" s="171">
        <v>2</v>
      </c>
      <c r="J58" s="171">
        <v>1</v>
      </c>
      <c r="K58" s="171"/>
      <c r="L58" s="171">
        <v>4</v>
      </c>
      <c r="M58" s="171">
        <f>1+1</f>
        <v>2</v>
      </c>
      <c r="N58" s="171">
        <v>5</v>
      </c>
      <c r="O58" s="171"/>
      <c r="P58" s="171"/>
      <c r="Q58" s="171">
        <v>2</v>
      </c>
      <c r="R58" s="171">
        <v>2</v>
      </c>
      <c r="S58" s="171">
        <v>3</v>
      </c>
      <c r="T58" s="171">
        <v>2</v>
      </c>
      <c r="U58" s="171"/>
      <c r="V58" s="171"/>
      <c r="W58" s="171">
        <f>2+2</f>
        <v>4</v>
      </c>
      <c r="X58" s="171">
        <v>7</v>
      </c>
      <c r="Y58" s="171"/>
      <c r="Z58" s="171"/>
      <c r="AA58" s="171"/>
      <c r="AB58" s="171"/>
      <c r="AC58" s="171"/>
      <c r="AD58" s="171"/>
      <c r="AE58" s="171"/>
      <c r="AF58" s="171"/>
      <c r="AG58" s="172">
        <f t="shared" si="1"/>
        <v>37</v>
      </c>
      <c r="AH58" s="173">
        <f>D58-AG58</f>
        <v>11</v>
      </c>
    </row>
    <row r="59" spans="1:35" ht="35.25" hidden="1" x14ac:dyDescent="0.5">
      <c r="A59" s="127">
        <v>71</v>
      </c>
      <c r="B59" s="95" t="s">
        <v>154</v>
      </c>
      <c r="C59" s="36" t="s">
        <v>155</v>
      </c>
      <c r="D59" s="34">
        <v>2</v>
      </c>
      <c r="E59" s="171"/>
      <c r="F59" s="171">
        <v>1</v>
      </c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2">
        <f t="shared" si="1"/>
        <v>1</v>
      </c>
      <c r="AH59" s="173">
        <f>D59-AG59</f>
        <v>1</v>
      </c>
    </row>
    <row r="60" spans="1:35" ht="35.25" hidden="1" x14ac:dyDescent="0.5">
      <c r="A60" s="127">
        <v>72</v>
      </c>
      <c r="B60" s="94" t="s">
        <v>156</v>
      </c>
      <c r="C60" s="35" t="s">
        <v>157</v>
      </c>
      <c r="D60" s="32">
        <v>4</v>
      </c>
      <c r="E60" s="171"/>
      <c r="F60" s="171"/>
      <c r="G60" s="171"/>
      <c r="H60" s="171"/>
      <c r="I60" s="171"/>
      <c r="J60" s="171"/>
      <c r="K60" s="171"/>
      <c r="L60" s="171"/>
      <c r="M60" s="171">
        <v>1</v>
      </c>
      <c r="N60" s="171"/>
      <c r="O60" s="171"/>
      <c r="P60" s="171"/>
      <c r="Q60" s="171"/>
      <c r="R60" s="171">
        <f>1+1</f>
        <v>2</v>
      </c>
      <c r="S60" s="171"/>
      <c r="T60" s="171"/>
      <c r="U60" s="171"/>
      <c r="V60" s="171"/>
      <c r="W60" s="171"/>
      <c r="X60" s="171">
        <v>1</v>
      </c>
      <c r="Y60" s="171"/>
      <c r="Z60" s="171"/>
      <c r="AA60" s="171"/>
      <c r="AB60" s="171"/>
      <c r="AC60" s="171"/>
      <c r="AD60" s="171"/>
      <c r="AE60" s="171"/>
      <c r="AF60" s="171"/>
      <c r="AG60" s="172">
        <f t="shared" si="1"/>
        <v>4</v>
      </c>
      <c r="AH60" s="173">
        <f>D60-AG60</f>
        <v>0</v>
      </c>
      <c r="AI60" s="30"/>
    </row>
    <row r="61" spans="1:35" ht="35.25" hidden="1" x14ac:dyDescent="0.5">
      <c r="A61" s="127">
        <v>73</v>
      </c>
      <c r="B61" s="95" t="s">
        <v>158</v>
      </c>
      <c r="C61" s="36" t="s">
        <v>159</v>
      </c>
      <c r="D61" s="34">
        <v>14</v>
      </c>
      <c r="E61" s="171"/>
      <c r="F61" s="171">
        <v>1</v>
      </c>
      <c r="G61" s="171"/>
      <c r="H61" s="171"/>
      <c r="I61" s="171"/>
      <c r="J61" s="171">
        <v>3</v>
      </c>
      <c r="K61" s="171"/>
      <c r="L61" s="171">
        <v>1</v>
      </c>
      <c r="M61" s="171"/>
      <c r="N61" s="171">
        <f>2+1</f>
        <v>3</v>
      </c>
      <c r="O61" s="171"/>
      <c r="P61" s="171"/>
      <c r="Q61" s="171">
        <v>1</v>
      </c>
      <c r="R61" s="171">
        <f>1+1</f>
        <v>2</v>
      </c>
      <c r="S61" s="171"/>
      <c r="T61" s="171"/>
      <c r="U61" s="171"/>
      <c r="V61" s="171"/>
      <c r="W61" s="171">
        <v>2</v>
      </c>
      <c r="X61" s="171"/>
      <c r="Y61" s="171"/>
      <c r="Z61" s="171"/>
      <c r="AA61" s="171"/>
      <c r="AB61" s="171"/>
      <c r="AC61" s="171"/>
      <c r="AD61" s="171"/>
      <c r="AE61" s="171"/>
      <c r="AF61" s="171"/>
      <c r="AG61" s="172">
        <f t="shared" si="1"/>
        <v>13</v>
      </c>
      <c r="AH61" s="173">
        <f>D61-AG61</f>
        <v>1</v>
      </c>
      <c r="AI61" s="30"/>
    </row>
    <row r="62" spans="1:35" ht="35.25" hidden="1" x14ac:dyDescent="0.5">
      <c r="A62" s="127">
        <v>74</v>
      </c>
      <c r="B62" s="94" t="s">
        <v>160</v>
      </c>
      <c r="C62" s="35" t="s">
        <v>161</v>
      </c>
      <c r="D62" s="32">
        <v>1</v>
      </c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2">
        <f t="shared" si="1"/>
        <v>0</v>
      </c>
      <c r="AH62" s="173">
        <f>D62-AG62</f>
        <v>1</v>
      </c>
    </row>
    <row r="63" spans="1:35" ht="35.25" hidden="1" x14ac:dyDescent="0.5">
      <c r="A63" s="127">
        <v>75</v>
      </c>
      <c r="B63" s="95" t="s">
        <v>162</v>
      </c>
      <c r="C63" s="36" t="s">
        <v>163</v>
      </c>
      <c r="D63" s="34">
        <v>1</v>
      </c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>
        <v>1</v>
      </c>
      <c r="AE63" s="171"/>
      <c r="AF63" s="171"/>
      <c r="AG63" s="172">
        <f t="shared" si="1"/>
        <v>1</v>
      </c>
      <c r="AH63" s="173">
        <f>D63-AG63</f>
        <v>0</v>
      </c>
    </row>
    <row r="64" spans="1:35" ht="35.25" hidden="1" x14ac:dyDescent="0.5">
      <c r="A64" s="127">
        <v>76</v>
      </c>
      <c r="B64" s="94" t="s">
        <v>164</v>
      </c>
      <c r="C64" s="35" t="s">
        <v>163</v>
      </c>
      <c r="D64" s="32">
        <v>1</v>
      </c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>
        <v>1</v>
      </c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2">
        <f t="shared" si="1"/>
        <v>1</v>
      </c>
      <c r="AH64" s="173">
        <f>D64-AG64</f>
        <v>0</v>
      </c>
    </row>
    <row r="65" spans="1:35" ht="35.25" hidden="1" x14ac:dyDescent="0.5">
      <c r="A65" s="127">
        <v>77</v>
      </c>
      <c r="B65" s="95" t="s">
        <v>165</v>
      </c>
      <c r="C65" s="36" t="s">
        <v>166</v>
      </c>
      <c r="D65" s="34">
        <v>2</v>
      </c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>
        <v>1</v>
      </c>
      <c r="Y65" s="171"/>
      <c r="Z65" s="171"/>
      <c r="AA65" s="171"/>
      <c r="AB65" s="171"/>
      <c r="AC65" s="171"/>
      <c r="AD65" s="171"/>
      <c r="AE65" s="171"/>
      <c r="AF65" s="171"/>
      <c r="AG65" s="172">
        <f t="shared" si="1"/>
        <v>1</v>
      </c>
      <c r="AH65" s="173">
        <f>D65-AG65</f>
        <v>1</v>
      </c>
    </row>
    <row r="66" spans="1:35" ht="35.25" hidden="1" x14ac:dyDescent="0.5">
      <c r="A66" s="127">
        <v>78</v>
      </c>
      <c r="B66" s="94" t="s">
        <v>167</v>
      </c>
      <c r="C66" s="35" t="s">
        <v>168</v>
      </c>
      <c r="D66" s="32">
        <v>5</v>
      </c>
      <c r="E66" s="171"/>
      <c r="F66" s="171">
        <v>1</v>
      </c>
      <c r="G66" s="171"/>
      <c r="H66" s="171"/>
      <c r="I66" s="171"/>
      <c r="J66" s="171"/>
      <c r="K66" s="171"/>
      <c r="L66" s="171"/>
      <c r="M66" s="171"/>
      <c r="N66" s="171">
        <v>1</v>
      </c>
      <c r="O66" s="171"/>
      <c r="P66" s="171"/>
      <c r="Q66" s="171"/>
      <c r="R66" s="171"/>
      <c r="S66" s="171"/>
      <c r="T66" s="171"/>
      <c r="U66" s="171"/>
      <c r="V66" s="171"/>
      <c r="W66" s="171"/>
      <c r="X66" s="171">
        <v>1</v>
      </c>
      <c r="Y66" s="171"/>
      <c r="Z66" s="171"/>
      <c r="AA66" s="171"/>
      <c r="AB66" s="171"/>
      <c r="AC66" s="171"/>
      <c r="AD66" s="171"/>
      <c r="AE66" s="171"/>
      <c r="AF66" s="171"/>
      <c r="AG66" s="172">
        <f t="shared" si="1"/>
        <v>3</v>
      </c>
      <c r="AH66" s="173">
        <f>D66-AG66</f>
        <v>2</v>
      </c>
    </row>
    <row r="67" spans="1:35" ht="35.25" hidden="1" x14ac:dyDescent="0.5">
      <c r="A67" s="127">
        <v>79</v>
      </c>
      <c r="B67" s="95" t="s">
        <v>169</v>
      </c>
      <c r="C67" s="36" t="s">
        <v>170</v>
      </c>
      <c r="D67" s="34">
        <v>5</v>
      </c>
      <c r="E67" s="171">
        <v>2</v>
      </c>
      <c r="F67" s="171"/>
      <c r="G67" s="171"/>
      <c r="H67" s="171"/>
      <c r="I67" s="171"/>
      <c r="J67" s="171">
        <v>1</v>
      </c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>
        <v>1</v>
      </c>
      <c r="X67" s="171"/>
      <c r="Y67" s="171"/>
      <c r="Z67" s="171"/>
      <c r="AA67" s="171"/>
      <c r="AB67" s="171"/>
      <c r="AC67" s="171"/>
      <c r="AD67" s="171"/>
      <c r="AE67" s="171"/>
      <c r="AF67" s="171"/>
      <c r="AG67" s="172">
        <f t="shared" si="1"/>
        <v>2</v>
      </c>
      <c r="AH67" s="173">
        <f>D67-AG67</f>
        <v>3</v>
      </c>
    </row>
    <row r="68" spans="1:35" ht="35.25" hidden="1" x14ac:dyDescent="0.5">
      <c r="A68" s="127">
        <v>80</v>
      </c>
      <c r="B68" s="94" t="s">
        <v>171</v>
      </c>
      <c r="C68" s="35" t="s">
        <v>172</v>
      </c>
      <c r="D68" s="32">
        <v>2</v>
      </c>
      <c r="E68" s="171"/>
      <c r="F68" s="171"/>
      <c r="G68" s="171"/>
      <c r="H68" s="171"/>
      <c r="I68" s="171"/>
      <c r="J68" s="171"/>
      <c r="K68" s="171"/>
      <c r="L68" s="171"/>
      <c r="M68" s="171"/>
      <c r="N68" s="171">
        <v>1</v>
      </c>
      <c r="O68" s="171"/>
      <c r="P68" s="171"/>
      <c r="Q68" s="171"/>
      <c r="R68" s="171"/>
      <c r="S68" s="171"/>
      <c r="T68" s="171"/>
      <c r="U68" s="171"/>
      <c r="V68" s="171"/>
      <c r="W68" s="171">
        <v>1</v>
      </c>
      <c r="X68" s="171"/>
      <c r="Y68" s="171"/>
      <c r="Z68" s="171"/>
      <c r="AA68" s="171"/>
      <c r="AB68" s="171"/>
      <c r="AC68" s="171"/>
      <c r="AD68" s="171"/>
      <c r="AE68" s="171"/>
      <c r="AF68" s="171"/>
      <c r="AG68" s="172">
        <f t="shared" si="1"/>
        <v>2</v>
      </c>
      <c r="AH68" s="173">
        <f>D68-AG68</f>
        <v>0</v>
      </c>
    </row>
    <row r="69" spans="1:35" ht="35.25" hidden="1" x14ac:dyDescent="0.5">
      <c r="A69" s="127">
        <v>81</v>
      </c>
      <c r="B69" s="95" t="s">
        <v>173</v>
      </c>
      <c r="C69" s="36" t="s">
        <v>174</v>
      </c>
      <c r="D69" s="34">
        <v>4</v>
      </c>
      <c r="E69" s="171"/>
      <c r="F69" s="171"/>
      <c r="G69" s="171"/>
      <c r="H69" s="171"/>
      <c r="I69" s="171"/>
      <c r="J69" s="171"/>
      <c r="K69" s="171"/>
      <c r="L69" s="171"/>
      <c r="M69" s="171"/>
      <c r="N69" s="171">
        <v>1</v>
      </c>
      <c r="O69" s="171"/>
      <c r="P69" s="171"/>
      <c r="Q69" s="171"/>
      <c r="R69" s="171"/>
      <c r="S69" s="171"/>
      <c r="T69" s="171"/>
      <c r="U69" s="171"/>
      <c r="V69" s="171"/>
      <c r="W69" s="171">
        <v>2</v>
      </c>
      <c r="X69" s="171"/>
      <c r="Y69" s="171"/>
      <c r="Z69" s="171"/>
      <c r="AA69" s="171"/>
      <c r="AB69" s="171"/>
      <c r="AC69" s="171"/>
      <c r="AD69" s="171"/>
      <c r="AE69" s="171"/>
      <c r="AF69" s="171"/>
      <c r="AG69" s="172">
        <f t="shared" si="1"/>
        <v>3</v>
      </c>
      <c r="AH69" s="173">
        <f>D69-AG69</f>
        <v>1</v>
      </c>
    </row>
    <row r="70" spans="1:35" ht="35.25" hidden="1" x14ac:dyDescent="0.5">
      <c r="A70" s="127">
        <v>82</v>
      </c>
      <c r="B70" s="94" t="s">
        <v>175</v>
      </c>
      <c r="C70" s="35" t="s">
        <v>176</v>
      </c>
      <c r="D70" s="32">
        <v>5</v>
      </c>
      <c r="E70" s="171">
        <v>1</v>
      </c>
      <c r="F70" s="171"/>
      <c r="G70" s="171"/>
      <c r="H70" s="171"/>
      <c r="I70" s="171"/>
      <c r="J70" s="171"/>
      <c r="K70" s="171"/>
      <c r="L70" s="171"/>
      <c r="M70" s="171"/>
      <c r="N70" s="171">
        <v>1</v>
      </c>
      <c r="O70" s="171"/>
      <c r="P70" s="171"/>
      <c r="Q70" s="171"/>
      <c r="R70" s="171"/>
      <c r="S70" s="171"/>
      <c r="T70" s="171"/>
      <c r="U70" s="171"/>
      <c r="V70" s="171"/>
      <c r="W70" s="171">
        <v>1</v>
      </c>
      <c r="X70" s="171"/>
      <c r="Y70" s="171"/>
      <c r="Z70" s="171"/>
      <c r="AA70" s="171"/>
      <c r="AB70" s="171"/>
      <c r="AC70" s="171"/>
      <c r="AD70" s="171">
        <v>1</v>
      </c>
      <c r="AE70" s="171"/>
      <c r="AF70" s="171"/>
      <c r="AG70" s="172">
        <f t="shared" si="1"/>
        <v>3</v>
      </c>
      <c r="AH70" s="173">
        <f>D70-AG70</f>
        <v>2</v>
      </c>
    </row>
    <row r="71" spans="1:35" ht="35.25" hidden="1" x14ac:dyDescent="0.5">
      <c r="A71" s="127">
        <v>83</v>
      </c>
      <c r="B71" s="95" t="s">
        <v>177</v>
      </c>
      <c r="C71" s="36" t="s">
        <v>178</v>
      </c>
      <c r="D71" s="34">
        <v>1</v>
      </c>
      <c r="E71" s="171"/>
      <c r="F71" s="171"/>
      <c r="G71" s="171"/>
      <c r="H71" s="171"/>
      <c r="I71" s="171"/>
      <c r="J71" s="171"/>
      <c r="K71" s="171"/>
      <c r="L71" s="171">
        <v>1</v>
      </c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2">
        <f t="shared" si="1"/>
        <v>1</v>
      </c>
      <c r="AH71" s="173">
        <f>D71-AG71</f>
        <v>0</v>
      </c>
    </row>
    <row r="72" spans="1:35" ht="35.25" hidden="1" x14ac:dyDescent="0.5">
      <c r="A72" s="127">
        <v>84</v>
      </c>
      <c r="B72" s="94" t="s">
        <v>179</v>
      </c>
      <c r="C72" s="35" t="s">
        <v>178</v>
      </c>
      <c r="D72" s="32">
        <v>1</v>
      </c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2">
        <f t="shared" si="1"/>
        <v>0</v>
      </c>
      <c r="AH72" s="173">
        <f>D72-AG72</f>
        <v>1</v>
      </c>
    </row>
    <row r="73" spans="1:35" ht="35.25" hidden="1" x14ac:dyDescent="0.5">
      <c r="A73" s="127">
        <v>85</v>
      </c>
      <c r="B73" s="95" t="s">
        <v>180</v>
      </c>
      <c r="C73" s="36" t="s">
        <v>178</v>
      </c>
      <c r="D73" s="34">
        <v>1</v>
      </c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>
        <v>1</v>
      </c>
      <c r="Y73" s="171"/>
      <c r="Z73" s="171"/>
      <c r="AA73" s="171"/>
      <c r="AB73" s="171"/>
      <c r="AC73" s="171"/>
      <c r="AD73" s="171"/>
      <c r="AE73" s="171"/>
      <c r="AF73" s="171"/>
      <c r="AG73" s="172">
        <f t="shared" si="1"/>
        <v>1</v>
      </c>
      <c r="AH73" s="173">
        <f>D73-AG73</f>
        <v>0</v>
      </c>
    </row>
    <row r="74" spans="1:35" ht="35.25" hidden="1" x14ac:dyDescent="0.5">
      <c r="A74" s="127">
        <v>86</v>
      </c>
      <c r="B74" s="94" t="s">
        <v>181</v>
      </c>
      <c r="C74" s="35" t="s">
        <v>182</v>
      </c>
      <c r="D74" s="32">
        <v>25</v>
      </c>
      <c r="E74" s="171">
        <v>2</v>
      </c>
      <c r="F74" s="171">
        <v>1</v>
      </c>
      <c r="G74" s="171"/>
      <c r="H74" s="171"/>
      <c r="I74" s="171"/>
      <c r="J74" s="171"/>
      <c r="K74" s="171"/>
      <c r="L74" s="171"/>
      <c r="M74" s="171"/>
      <c r="N74" s="171">
        <v>3</v>
      </c>
      <c r="O74" s="171"/>
      <c r="P74" s="171"/>
      <c r="Q74" s="171"/>
      <c r="R74" s="171">
        <v>5</v>
      </c>
      <c r="S74" s="171"/>
      <c r="T74" s="171"/>
      <c r="U74" s="171"/>
      <c r="V74" s="171"/>
      <c r="W74" s="171">
        <v>4</v>
      </c>
      <c r="X74" s="171">
        <v>2</v>
      </c>
      <c r="Y74" s="171"/>
      <c r="Z74" s="171"/>
      <c r="AA74" s="171"/>
      <c r="AB74" s="171"/>
      <c r="AC74" s="171"/>
      <c r="AD74" s="171">
        <v>1</v>
      </c>
      <c r="AE74" s="171"/>
      <c r="AF74" s="171"/>
      <c r="AG74" s="172">
        <f t="shared" si="1"/>
        <v>16</v>
      </c>
      <c r="AH74" s="173">
        <f>D74-AG74</f>
        <v>9</v>
      </c>
    </row>
    <row r="75" spans="1:35" ht="35.25" hidden="1" x14ac:dyDescent="0.5">
      <c r="A75" s="127">
        <v>87</v>
      </c>
      <c r="B75" s="94" t="s">
        <v>184</v>
      </c>
      <c r="C75" s="35" t="s">
        <v>185</v>
      </c>
      <c r="D75" s="32">
        <v>3</v>
      </c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>
        <v>1</v>
      </c>
      <c r="Y75" s="171"/>
      <c r="Z75" s="171"/>
      <c r="AA75" s="171"/>
      <c r="AB75" s="171"/>
      <c r="AC75" s="171"/>
      <c r="AD75" s="171"/>
      <c r="AE75" s="171"/>
      <c r="AF75" s="171">
        <v>1</v>
      </c>
      <c r="AG75" s="172">
        <f t="shared" si="1"/>
        <v>2</v>
      </c>
      <c r="AH75" s="173">
        <f>D75-AG75</f>
        <v>1</v>
      </c>
    </row>
    <row r="76" spans="1:35" ht="35.25" hidden="1" x14ac:dyDescent="0.5">
      <c r="A76" s="127">
        <v>89</v>
      </c>
      <c r="B76" s="94" t="s">
        <v>188</v>
      </c>
      <c r="C76" s="35" t="s">
        <v>189</v>
      </c>
      <c r="D76" s="32">
        <v>2</v>
      </c>
      <c r="E76" s="171"/>
      <c r="F76" s="171"/>
      <c r="G76" s="171"/>
      <c r="H76" s="171"/>
      <c r="I76" s="171"/>
      <c r="J76" s="171"/>
      <c r="K76" s="171"/>
      <c r="L76" s="171"/>
      <c r="M76" s="171"/>
      <c r="N76" s="171">
        <v>1</v>
      </c>
      <c r="O76" s="171"/>
      <c r="P76" s="171"/>
      <c r="Q76" s="171"/>
      <c r="R76" s="171"/>
      <c r="S76" s="171"/>
      <c r="T76" s="171"/>
      <c r="U76" s="171"/>
      <c r="V76" s="171"/>
      <c r="W76" s="171">
        <v>1</v>
      </c>
      <c r="X76" s="171"/>
      <c r="Y76" s="171"/>
      <c r="Z76" s="171"/>
      <c r="AA76" s="171"/>
      <c r="AB76" s="171"/>
      <c r="AC76" s="171"/>
      <c r="AD76" s="171"/>
      <c r="AE76" s="171"/>
      <c r="AF76" s="171"/>
      <c r="AG76" s="172">
        <f t="shared" si="1"/>
        <v>2</v>
      </c>
      <c r="AH76" s="173">
        <f>D76-AG76</f>
        <v>0</v>
      </c>
      <c r="AI76" s="30"/>
    </row>
    <row r="77" spans="1:35" ht="35.25" hidden="1" x14ac:dyDescent="0.5">
      <c r="A77" s="127">
        <v>90</v>
      </c>
      <c r="B77" s="94" t="s">
        <v>190</v>
      </c>
      <c r="C77" s="35" t="s">
        <v>191</v>
      </c>
      <c r="D77" s="32">
        <v>2</v>
      </c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>
        <v>1</v>
      </c>
      <c r="AG77" s="172">
        <f t="shared" si="1"/>
        <v>1</v>
      </c>
      <c r="AH77" s="173">
        <f>D77-AG77</f>
        <v>1</v>
      </c>
    </row>
    <row r="78" spans="1:35" ht="35.25" hidden="1" x14ac:dyDescent="0.5">
      <c r="A78" s="127">
        <v>92</v>
      </c>
      <c r="B78" s="94" t="s">
        <v>193</v>
      </c>
      <c r="C78" s="35" t="s">
        <v>194</v>
      </c>
      <c r="D78" s="32">
        <v>2</v>
      </c>
      <c r="E78" s="171"/>
      <c r="F78" s="171"/>
      <c r="G78" s="171"/>
      <c r="H78" s="171"/>
      <c r="I78" s="171"/>
      <c r="J78" s="171"/>
      <c r="K78" s="171"/>
      <c r="L78" s="171">
        <v>1</v>
      </c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2">
        <f t="shared" si="1"/>
        <v>1</v>
      </c>
      <c r="AH78" s="173">
        <f>D78-AG78</f>
        <v>1</v>
      </c>
    </row>
    <row r="79" spans="1:35" ht="35.25" hidden="1" x14ac:dyDescent="0.5">
      <c r="A79" s="127">
        <v>93</v>
      </c>
      <c r="B79" s="95" t="s">
        <v>195</v>
      </c>
      <c r="C79" s="36" t="s">
        <v>196</v>
      </c>
      <c r="D79" s="34">
        <v>2</v>
      </c>
      <c r="E79" s="171"/>
      <c r="F79" s="171"/>
      <c r="G79" s="171"/>
      <c r="H79" s="171"/>
      <c r="I79" s="171"/>
      <c r="J79" s="171"/>
      <c r="K79" s="171"/>
      <c r="L79" s="171"/>
      <c r="M79" s="171"/>
      <c r="N79" s="171">
        <v>1</v>
      </c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2">
        <f t="shared" si="1"/>
        <v>1</v>
      </c>
      <c r="AH79" s="173">
        <f>D79-AG79</f>
        <v>1</v>
      </c>
    </row>
    <row r="80" spans="1:35" ht="35.25" hidden="1" x14ac:dyDescent="0.5">
      <c r="A80" s="127">
        <v>94</v>
      </c>
      <c r="B80" s="95" t="s">
        <v>199</v>
      </c>
      <c r="C80" s="36" t="s">
        <v>200</v>
      </c>
      <c r="D80" s="34">
        <v>2</v>
      </c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>
        <v>1</v>
      </c>
      <c r="Y80" s="171"/>
      <c r="Z80" s="171"/>
      <c r="AA80" s="171"/>
      <c r="AB80" s="171"/>
      <c r="AC80" s="171"/>
      <c r="AD80" s="171"/>
      <c r="AE80" s="171"/>
      <c r="AF80" s="171"/>
      <c r="AG80" s="172">
        <f t="shared" si="1"/>
        <v>1</v>
      </c>
      <c r="AH80" s="173">
        <f>D80-AG80</f>
        <v>1</v>
      </c>
    </row>
    <row r="81" spans="1:35" ht="35.25" hidden="1" x14ac:dyDescent="0.5">
      <c r="A81" s="127">
        <v>95</v>
      </c>
      <c r="B81" s="95" t="s">
        <v>202</v>
      </c>
      <c r="C81" s="36" t="s">
        <v>203</v>
      </c>
      <c r="D81" s="34">
        <v>12</v>
      </c>
      <c r="E81" s="171">
        <v>1</v>
      </c>
      <c r="F81" s="171"/>
      <c r="G81" s="171"/>
      <c r="H81" s="171"/>
      <c r="I81" s="171">
        <v>1</v>
      </c>
      <c r="J81" s="171">
        <v>1</v>
      </c>
      <c r="K81" s="171"/>
      <c r="L81" s="171"/>
      <c r="M81" s="171">
        <v>1</v>
      </c>
      <c r="N81" s="171">
        <v>1</v>
      </c>
      <c r="O81" s="171"/>
      <c r="P81" s="171"/>
      <c r="Q81" s="171">
        <v>2</v>
      </c>
      <c r="R81" s="171"/>
      <c r="S81" s="171"/>
      <c r="T81" s="171"/>
      <c r="U81" s="171"/>
      <c r="V81" s="171"/>
      <c r="W81" s="171">
        <v>1</v>
      </c>
      <c r="X81" s="171">
        <v>1</v>
      </c>
      <c r="Y81" s="171">
        <v>1</v>
      </c>
      <c r="Z81" s="171"/>
      <c r="AA81" s="171"/>
      <c r="AB81" s="171"/>
      <c r="AC81" s="171"/>
      <c r="AD81" s="171"/>
      <c r="AE81" s="171"/>
      <c r="AF81" s="171"/>
      <c r="AG81" s="172">
        <f t="shared" si="1"/>
        <v>9</v>
      </c>
      <c r="AH81" s="173">
        <f>D81-AG81</f>
        <v>3</v>
      </c>
    </row>
    <row r="82" spans="1:35" ht="35.25" hidden="1" x14ac:dyDescent="0.5">
      <c r="A82" s="127">
        <v>96</v>
      </c>
      <c r="B82" s="95" t="s">
        <v>204</v>
      </c>
      <c r="C82" s="36" t="s">
        <v>205</v>
      </c>
      <c r="D82" s="34">
        <v>5</v>
      </c>
      <c r="E82" s="171"/>
      <c r="F82" s="171"/>
      <c r="G82" s="171"/>
      <c r="H82" s="171"/>
      <c r="I82" s="171"/>
      <c r="J82" s="171"/>
      <c r="K82" s="171"/>
      <c r="L82" s="171"/>
      <c r="M82" s="171"/>
      <c r="N82" s="171">
        <f>1+1</f>
        <v>2</v>
      </c>
      <c r="O82" s="171"/>
      <c r="P82" s="171"/>
      <c r="Q82" s="171"/>
      <c r="R82" s="171">
        <v>1</v>
      </c>
      <c r="S82" s="171"/>
      <c r="T82" s="171"/>
      <c r="U82" s="171"/>
      <c r="V82" s="171"/>
      <c r="W82" s="171">
        <v>1</v>
      </c>
      <c r="X82" s="171">
        <v>1</v>
      </c>
      <c r="Y82" s="171"/>
      <c r="Z82" s="171"/>
      <c r="AA82" s="171"/>
      <c r="AB82" s="171"/>
      <c r="AC82" s="171"/>
      <c r="AD82" s="171"/>
      <c r="AE82" s="171"/>
      <c r="AF82" s="171"/>
      <c r="AG82" s="172">
        <f t="shared" si="1"/>
        <v>5</v>
      </c>
      <c r="AH82" s="173">
        <f>D82-AG82</f>
        <v>0</v>
      </c>
      <c r="AI82" s="30"/>
    </row>
    <row r="83" spans="1:35" ht="35.25" hidden="1" x14ac:dyDescent="0.5">
      <c r="A83" s="127">
        <v>97</v>
      </c>
      <c r="B83" s="95" t="s">
        <v>206</v>
      </c>
      <c r="C83" s="36" t="s">
        <v>207</v>
      </c>
      <c r="D83" s="34">
        <v>153</v>
      </c>
      <c r="E83" s="171">
        <v>2</v>
      </c>
      <c r="F83" s="171">
        <v>6</v>
      </c>
      <c r="G83" s="171">
        <v>2</v>
      </c>
      <c r="H83" s="171"/>
      <c r="I83" s="171"/>
      <c r="J83" s="171">
        <v>7</v>
      </c>
      <c r="K83" s="171"/>
      <c r="L83" s="171">
        <v>7</v>
      </c>
      <c r="M83" s="171">
        <v>2</v>
      </c>
      <c r="N83" s="171">
        <v>33</v>
      </c>
      <c r="O83" s="171"/>
      <c r="P83" s="171"/>
      <c r="Q83" s="171">
        <v>12</v>
      </c>
      <c r="R83" s="171">
        <v>4</v>
      </c>
      <c r="S83" s="171">
        <v>2</v>
      </c>
      <c r="T83" s="171"/>
      <c r="U83" s="171"/>
      <c r="V83" s="171">
        <v>1</v>
      </c>
      <c r="W83" s="171">
        <f>24+2</f>
        <v>26</v>
      </c>
      <c r="X83" s="171">
        <v>20</v>
      </c>
      <c r="Y83" s="171">
        <v>1</v>
      </c>
      <c r="Z83" s="171"/>
      <c r="AA83" s="171"/>
      <c r="AB83" s="171"/>
      <c r="AC83" s="171">
        <v>2</v>
      </c>
      <c r="AD83" s="171">
        <v>7</v>
      </c>
      <c r="AE83" s="171">
        <v>2</v>
      </c>
      <c r="AF83" s="171">
        <v>8</v>
      </c>
      <c r="AG83" s="172">
        <f t="shared" si="1"/>
        <v>142</v>
      </c>
      <c r="AH83" s="173">
        <f>D83-AG83</f>
        <v>11</v>
      </c>
    </row>
    <row r="84" spans="1:35" ht="35.25" hidden="1" x14ac:dyDescent="0.5">
      <c r="A84" s="127">
        <v>98</v>
      </c>
      <c r="B84" s="95" t="s">
        <v>208</v>
      </c>
      <c r="C84" s="36" t="s">
        <v>53</v>
      </c>
      <c r="D84" s="34">
        <v>15</v>
      </c>
      <c r="E84" s="171"/>
      <c r="F84" s="171">
        <v>1</v>
      </c>
      <c r="G84" s="171"/>
      <c r="H84" s="171"/>
      <c r="I84" s="171"/>
      <c r="J84" s="171">
        <v>1</v>
      </c>
      <c r="K84" s="171"/>
      <c r="L84" s="171">
        <v>3</v>
      </c>
      <c r="M84" s="171">
        <v>1</v>
      </c>
      <c r="N84" s="171"/>
      <c r="O84" s="171"/>
      <c r="P84" s="171"/>
      <c r="Q84" s="171">
        <v>1</v>
      </c>
      <c r="R84" s="171">
        <v>1</v>
      </c>
      <c r="S84" s="171"/>
      <c r="T84" s="171"/>
      <c r="U84" s="171"/>
      <c r="V84" s="171"/>
      <c r="W84" s="171">
        <v>3</v>
      </c>
      <c r="X84" s="171">
        <v>2</v>
      </c>
      <c r="Y84" s="171"/>
      <c r="Z84" s="171"/>
      <c r="AA84" s="171"/>
      <c r="AB84" s="171"/>
      <c r="AC84" s="171"/>
      <c r="AD84" s="171"/>
      <c r="AE84" s="171"/>
      <c r="AF84" s="171">
        <v>1</v>
      </c>
      <c r="AG84" s="172">
        <f t="shared" si="1"/>
        <v>14</v>
      </c>
      <c r="AH84" s="173">
        <f>D84-AG84</f>
        <v>1</v>
      </c>
    </row>
    <row r="85" spans="1:35" ht="35.25" hidden="1" x14ac:dyDescent="0.5">
      <c r="A85" s="127">
        <v>99</v>
      </c>
      <c r="B85" s="95" t="s">
        <v>209</v>
      </c>
      <c r="C85" s="36" t="s">
        <v>210</v>
      </c>
      <c r="D85" s="34">
        <v>22</v>
      </c>
      <c r="E85" s="171"/>
      <c r="F85" s="171">
        <v>1</v>
      </c>
      <c r="G85" s="171"/>
      <c r="H85" s="171"/>
      <c r="I85" s="171"/>
      <c r="J85" s="171"/>
      <c r="K85" s="171"/>
      <c r="L85" s="171"/>
      <c r="M85" s="171"/>
      <c r="N85" s="171">
        <v>6</v>
      </c>
      <c r="O85" s="171"/>
      <c r="P85" s="171"/>
      <c r="Q85" s="171">
        <v>6</v>
      </c>
      <c r="R85" s="171"/>
      <c r="S85" s="171"/>
      <c r="T85" s="171"/>
      <c r="U85" s="171"/>
      <c r="V85" s="171"/>
      <c r="W85" s="171">
        <v>2</v>
      </c>
      <c r="X85" s="171">
        <v>3</v>
      </c>
      <c r="Y85" s="171"/>
      <c r="Z85" s="171"/>
      <c r="AA85" s="171"/>
      <c r="AB85" s="171"/>
      <c r="AC85" s="171"/>
      <c r="AD85" s="171">
        <v>3</v>
      </c>
      <c r="AE85" s="171"/>
      <c r="AF85" s="171">
        <v>1</v>
      </c>
      <c r="AG85" s="172">
        <f t="shared" si="1"/>
        <v>22</v>
      </c>
      <c r="AH85" s="173">
        <f>D85-AG85</f>
        <v>0</v>
      </c>
    </row>
    <row r="86" spans="1:35" ht="35.25" hidden="1" x14ac:dyDescent="0.5">
      <c r="A86" s="127">
        <v>100</v>
      </c>
      <c r="B86" s="95" t="s">
        <v>211</v>
      </c>
      <c r="C86" s="36" t="s">
        <v>212</v>
      </c>
      <c r="D86" s="34">
        <v>55</v>
      </c>
      <c r="E86" s="171">
        <v>2</v>
      </c>
      <c r="F86" s="171"/>
      <c r="G86" s="171">
        <v>2</v>
      </c>
      <c r="H86" s="171"/>
      <c r="I86" s="171"/>
      <c r="J86" s="171">
        <v>7</v>
      </c>
      <c r="K86" s="171"/>
      <c r="L86" s="171">
        <v>5</v>
      </c>
      <c r="M86" s="171">
        <v>2</v>
      </c>
      <c r="N86" s="171">
        <v>11</v>
      </c>
      <c r="O86" s="171"/>
      <c r="P86" s="171"/>
      <c r="Q86" s="171"/>
      <c r="R86" s="171">
        <v>4</v>
      </c>
      <c r="S86" s="171">
        <v>1</v>
      </c>
      <c r="T86" s="171"/>
      <c r="U86" s="171"/>
      <c r="V86" s="171"/>
      <c r="W86" s="171">
        <v>6</v>
      </c>
      <c r="X86" s="171">
        <v>11</v>
      </c>
      <c r="Y86" s="171"/>
      <c r="Z86" s="171"/>
      <c r="AA86" s="171"/>
      <c r="AB86" s="171"/>
      <c r="AC86" s="171"/>
      <c r="AD86" s="171">
        <v>1</v>
      </c>
      <c r="AE86" s="171">
        <v>2</v>
      </c>
      <c r="AF86" s="171" t="s">
        <v>1538</v>
      </c>
      <c r="AG86" s="172">
        <f t="shared" si="1"/>
        <v>52</v>
      </c>
      <c r="AH86" s="173">
        <f>D86-AG86</f>
        <v>3</v>
      </c>
    </row>
    <row r="87" spans="1:35" ht="35.25" hidden="1" x14ac:dyDescent="0.5">
      <c r="A87" s="127">
        <v>101</v>
      </c>
      <c r="B87" s="95" t="s">
        <v>213</v>
      </c>
      <c r="C87" s="36" t="s">
        <v>214</v>
      </c>
      <c r="D87" s="34">
        <v>5</v>
      </c>
      <c r="E87" s="171"/>
      <c r="F87" s="171">
        <v>1</v>
      </c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>
        <v>1</v>
      </c>
      <c r="X87" s="171">
        <v>1</v>
      </c>
      <c r="Y87" s="171"/>
      <c r="Z87" s="171"/>
      <c r="AA87" s="171"/>
      <c r="AB87" s="171"/>
      <c r="AC87" s="171"/>
      <c r="AD87" s="171"/>
      <c r="AE87" s="171"/>
      <c r="AF87" s="171">
        <v>1</v>
      </c>
      <c r="AG87" s="172">
        <f t="shared" si="1"/>
        <v>4</v>
      </c>
      <c r="AH87" s="173">
        <f>D87-AG87</f>
        <v>1</v>
      </c>
    </row>
    <row r="88" spans="1:35" ht="35.25" hidden="1" x14ac:dyDescent="0.5">
      <c r="A88" s="127">
        <v>102</v>
      </c>
      <c r="B88" s="95" t="s">
        <v>215</v>
      </c>
      <c r="C88" s="36" t="s">
        <v>216</v>
      </c>
      <c r="D88" s="34">
        <v>5</v>
      </c>
      <c r="E88" s="171"/>
      <c r="F88" s="171"/>
      <c r="G88" s="171"/>
      <c r="H88" s="171"/>
      <c r="I88" s="171"/>
      <c r="J88" s="171"/>
      <c r="K88" s="171"/>
      <c r="L88" s="171"/>
      <c r="M88" s="171"/>
      <c r="N88" s="171">
        <v>1</v>
      </c>
      <c r="O88" s="171"/>
      <c r="P88" s="171"/>
      <c r="Q88" s="171"/>
      <c r="R88" s="171"/>
      <c r="S88" s="171"/>
      <c r="T88" s="171"/>
      <c r="U88" s="171"/>
      <c r="V88" s="171"/>
      <c r="W88" s="171">
        <v>1</v>
      </c>
      <c r="X88" s="171">
        <v>1</v>
      </c>
      <c r="Y88" s="171"/>
      <c r="Z88" s="171"/>
      <c r="AA88" s="171"/>
      <c r="AB88" s="171"/>
      <c r="AC88" s="171"/>
      <c r="AD88" s="171"/>
      <c r="AE88" s="171"/>
      <c r="AF88" s="171"/>
      <c r="AG88" s="172">
        <f t="shared" si="1"/>
        <v>3</v>
      </c>
      <c r="AH88" s="173">
        <f>D88-AG88</f>
        <v>2</v>
      </c>
    </row>
    <row r="89" spans="1:35" ht="35.25" hidden="1" x14ac:dyDescent="0.5">
      <c r="A89" s="127">
        <v>103</v>
      </c>
      <c r="B89" s="95" t="s">
        <v>217</v>
      </c>
      <c r="C89" s="36" t="s">
        <v>216</v>
      </c>
      <c r="D89" s="34">
        <v>8</v>
      </c>
      <c r="E89" s="171"/>
      <c r="F89" s="171">
        <v>1</v>
      </c>
      <c r="G89" s="171"/>
      <c r="H89" s="171"/>
      <c r="I89" s="171"/>
      <c r="J89" s="171">
        <v>1</v>
      </c>
      <c r="K89" s="171"/>
      <c r="L89" s="171"/>
      <c r="M89" s="171">
        <v>1</v>
      </c>
      <c r="N89" s="171">
        <f>1+1</f>
        <v>2</v>
      </c>
      <c r="O89" s="171"/>
      <c r="P89" s="171"/>
      <c r="Q89" s="171"/>
      <c r="R89" s="171"/>
      <c r="S89" s="171"/>
      <c r="T89" s="171"/>
      <c r="U89" s="171"/>
      <c r="V89" s="171"/>
      <c r="W89" s="171">
        <v>1</v>
      </c>
      <c r="X89" s="171">
        <v>1</v>
      </c>
      <c r="Y89" s="171"/>
      <c r="Z89" s="171"/>
      <c r="AA89" s="171"/>
      <c r="AB89" s="171"/>
      <c r="AC89" s="171"/>
      <c r="AD89" s="171"/>
      <c r="AE89" s="171"/>
      <c r="AF89" s="171"/>
      <c r="AG89" s="172">
        <f t="shared" si="1"/>
        <v>7</v>
      </c>
      <c r="AH89" s="173">
        <f>D89-AG89</f>
        <v>1</v>
      </c>
    </row>
    <row r="90" spans="1:35" ht="35.25" hidden="1" x14ac:dyDescent="0.5">
      <c r="A90" s="127">
        <v>104</v>
      </c>
      <c r="B90" s="95" t="s">
        <v>218</v>
      </c>
      <c r="C90" s="36" t="s">
        <v>219</v>
      </c>
      <c r="D90" s="34">
        <v>70</v>
      </c>
      <c r="E90" s="171">
        <v>12</v>
      </c>
      <c r="F90" s="171">
        <v>2</v>
      </c>
      <c r="G90" s="171"/>
      <c r="H90" s="171"/>
      <c r="I90" s="171"/>
      <c r="J90" s="171">
        <f>24+3</f>
        <v>27</v>
      </c>
      <c r="K90" s="171"/>
      <c r="L90" s="171">
        <v>12</v>
      </c>
      <c r="M90" s="171">
        <v>6</v>
      </c>
      <c r="N90" s="171">
        <v>3</v>
      </c>
      <c r="O90" s="171"/>
      <c r="P90" s="171"/>
      <c r="Q90" s="171">
        <v>5</v>
      </c>
      <c r="R90" s="171">
        <v>7</v>
      </c>
      <c r="S90" s="171">
        <v>1</v>
      </c>
      <c r="T90" s="171"/>
      <c r="U90" s="171"/>
      <c r="V90" s="171"/>
      <c r="W90" s="171">
        <f>10+3</f>
        <v>13</v>
      </c>
      <c r="X90" s="171">
        <v>3</v>
      </c>
      <c r="Y90" s="171"/>
      <c r="Z90" s="171"/>
      <c r="AA90" s="171"/>
      <c r="AB90" s="171">
        <v>1</v>
      </c>
      <c r="AC90" s="171"/>
      <c r="AD90" s="171">
        <v>4</v>
      </c>
      <c r="AE90" s="171">
        <v>4</v>
      </c>
      <c r="AF90" s="171">
        <v>4</v>
      </c>
      <c r="AG90" s="172">
        <f t="shared" si="1"/>
        <v>92</v>
      </c>
      <c r="AH90" s="173">
        <f>D90-AG90</f>
        <v>-22</v>
      </c>
    </row>
    <row r="91" spans="1:35" ht="35.25" hidden="1" x14ac:dyDescent="0.5">
      <c r="A91" s="127">
        <v>105</v>
      </c>
      <c r="B91" s="95" t="s">
        <v>220</v>
      </c>
      <c r="C91" s="36" t="s">
        <v>221</v>
      </c>
      <c r="D91" s="34">
        <v>3</v>
      </c>
      <c r="E91" s="171"/>
      <c r="F91" s="171"/>
      <c r="G91" s="171"/>
      <c r="H91" s="171"/>
      <c r="I91" s="171"/>
      <c r="J91" s="171"/>
      <c r="K91" s="171"/>
      <c r="L91" s="171"/>
      <c r="M91" s="171"/>
      <c r="N91" s="171">
        <v>1</v>
      </c>
      <c r="O91" s="171"/>
      <c r="P91" s="171"/>
      <c r="Q91" s="171"/>
      <c r="R91" s="171">
        <v>1</v>
      </c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2">
        <f t="shared" si="1"/>
        <v>2</v>
      </c>
      <c r="AH91" s="173">
        <f>D91-AG91</f>
        <v>1</v>
      </c>
    </row>
    <row r="92" spans="1:35" ht="35.25" hidden="1" x14ac:dyDescent="0.5">
      <c r="A92" s="127">
        <v>106</v>
      </c>
      <c r="B92" s="95" t="s">
        <v>1008</v>
      </c>
      <c r="C92" s="36" t="s">
        <v>223</v>
      </c>
      <c r="D92" s="34">
        <v>330</v>
      </c>
      <c r="E92" s="171"/>
      <c r="F92" s="171">
        <v>3</v>
      </c>
      <c r="G92" s="171">
        <v>12</v>
      </c>
      <c r="H92" s="171"/>
      <c r="I92" s="171">
        <v>6</v>
      </c>
      <c r="J92" s="171">
        <f>6+6</f>
        <v>12</v>
      </c>
      <c r="K92" s="171"/>
      <c r="L92" s="171">
        <f>24+12</f>
        <v>36</v>
      </c>
      <c r="M92" s="171">
        <f>12+12</f>
        <v>24</v>
      </c>
      <c r="N92" s="171">
        <v>18</v>
      </c>
      <c r="O92" s="171"/>
      <c r="P92" s="171"/>
      <c r="Q92" s="171">
        <v>18</v>
      </c>
      <c r="R92" s="171">
        <f>12+12</f>
        <v>24</v>
      </c>
      <c r="S92" s="171">
        <v>6</v>
      </c>
      <c r="T92" s="171"/>
      <c r="U92" s="171"/>
      <c r="V92" s="171"/>
      <c r="W92" s="171">
        <f>18+6</f>
        <v>24</v>
      </c>
      <c r="X92" s="171">
        <f>6+6</f>
        <v>12</v>
      </c>
      <c r="Y92" s="171"/>
      <c r="Z92" s="171"/>
      <c r="AA92" s="171"/>
      <c r="AB92" s="171"/>
      <c r="AC92" s="171"/>
      <c r="AD92" s="171">
        <f>2+1+1+1</f>
        <v>5</v>
      </c>
      <c r="AE92" s="171">
        <f>1+1</f>
        <v>2</v>
      </c>
      <c r="AF92" s="171">
        <v>9</v>
      </c>
      <c r="AG92" s="172">
        <f t="shared" si="1"/>
        <v>211</v>
      </c>
      <c r="AH92" s="173">
        <f>D92-AG92</f>
        <v>119</v>
      </c>
    </row>
    <row r="93" spans="1:35" ht="35.25" hidden="1" x14ac:dyDescent="0.5">
      <c r="A93" s="127">
        <v>107</v>
      </c>
      <c r="B93" s="96" t="s">
        <v>224</v>
      </c>
      <c r="C93" s="37" t="s">
        <v>225</v>
      </c>
      <c r="D93" s="38">
        <v>5</v>
      </c>
      <c r="E93" s="171">
        <v>1</v>
      </c>
      <c r="F93" s="171"/>
      <c r="G93" s="171"/>
      <c r="H93" s="171"/>
      <c r="I93" s="171"/>
      <c r="J93" s="171"/>
      <c r="K93" s="171"/>
      <c r="L93" s="171"/>
      <c r="M93" s="171"/>
      <c r="N93" s="171">
        <v>2</v>
      </c>
      <c r="O93" s="171"/>
      <c r="P93" s="171"/>
      <c r="Q93" s="171">
        <v>1</v>
      </c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>
        <v>1</v>
      </c>
      <c r="AF93" s="171">
        <v>1</v>
      </c>
      <c r="AG93" s="172">
        <f t="shared" si="1"/>
        <v>5</v>
      </c>
      <c r="AH93" s="173">
        <f>D93-AG93</f>
        <v>0</v>
      </c>
    </row>
    <row r="94" spans="1:35" ht="35.25" hidden="1" x14ac:dyDescent="0.5">
      <c r="A94" s="127">
        <v>108</v>
      </c>
      <c r="B94" s="97" t="s">
        <v>226</v>
      </c>
      <c r="C94" s="39" t="s">
        <v>227</v>
      </c>
      <c r="D94" s="40">
        <v>2</v>
      </c>
      <c r="E94" s="171"/>
      <c r="F94" s="171"/>
      <c r="G94" s="171"/>
      <c r="H94" s="171"/>
      <c r="I94" s="171"/>
      <c r="J94" s="171">
        <v>2</v>
      </c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2">
        <f t="shared" si="1"/>
        <v>2</v>
      </c>
      <c r="AH94" s="173">
        <f>D94-AG94</f>
        <v>0</v>
      </c>
    </row>
    <row r="95" spans="1:35" ht="35.25" hidden="1" x14ac:dyDescent="0.5">
      <c r="A95" s="127">
        <v>109</v>
      </c>
      <c r="B95" s="96" t="s">
        <v>228</v>
      </c>
      <c r="C95" s="37" t="s">
        <v>229</v>
      </c>
      <c r="D95" s="38">
        <v>2</v>
      </c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>
        <v>2</v>
      </c>
      <c r="X95" s="171"/>
      <c r="Y95" s="171"/>
      <c r="Z95" s="171"/>
      <c r="AA95" s="171"/>
      <c r="AB95" s="171"/>
      <c r="AC95" s="171"/>
      <c r="AD95" s="171"/>
      <c r="AE95" s="171"/>
      <c r="AF95" s="171"/>
      <c r="AG95" s="172">
        <f t="shared" si="1"/>
        <v>2</v>
      </c>
      <c r="AH95" s="173">
        <f>D95-AG95</f>
        <v>0</v>
      </c>
    </row>
    <row r="96" spans="1:35" ht="35.25" hidden="1" x14ac:dyDescent="0.5">
      <c r="A96" s="127">
        <v>110</v>
      </c>
      <c r="B96" s="97" t="s">
        <v>230</v>
      </c>
      <c r="C96" s="39" t="s">
        <v>231</v>
      </c>
      <c r="D96" s="40">
        <v>2</v>
      </c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>
        <v>2</v>
      </c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2">
        <f t="shared" si="1"/>
        <v>2</v>
      </c>
      <c r="AH96" s="173">
        <f>D96-AG96</f>
        <v>0</v>
      </c>
    </row>
    <row r="97" spans="1:34" ht="35.25" hidden="1" x14ac:dyDescent="0.5">
      <c r="A97" s="127">
        <v>111</v>
      </c>
      <c r="B97" s="96" t="s">
        <v>232</v>
      </c>
      <c r="C97" s="37" t="s">
        <v>233</v>
      </c>
      <c r="D97" s="38">
        <v>7</v>
      </c>
      <c r="E97" s="171"/>
      <c r="F97" s="171"/>
      <c r="G97" s="171"/>
      <c r="H97" s="171"/>
      <c r="I97" s="171"/>
      <c r="J97" s="171"/>
      <c r="K97" s="171"/>
      <c r="L97" s="171"/>
      <c r="M97" s="171"/>
      <c r="N97" s="171">
        <f>3+2</f>
        <v>5</v>
      </c>
      <c r="O97" s="171"/>
      <c r="P97" s="171"/>
      <c r="Q97" s="171"/>
      <c r="R97" s="171"/>
      <c r="S97" s="171"/>
      <c r="T97" s="171"/>
      <c r="U97" s="171"/>
      <c r="V97" s="171"/>
      <c r="W97" s="171"/>
      <c r="X97" s="171">
        <v>1</v>
      </c>
      <c r="Y97" s="171"/>
      <c r="Z97" s="171"/>
      <c r="AA97" s="171"/>
      <c r="AB97" s="171">
        <v>1</v>
      </c>
      <c r="AC97" s="171"/>
      <c r="AD97" s="171"/>
      <c r="AE97" s="171"/>
      <c r="AF97" s="171"/>
      <c r="AG97" s="172">
        <f t="shared" si="1"/>
        <v>7</v>
      </c>
      <c r="AH97" s="173">
        <f>D97-AG97</f>
        <v>0</v>
      </c>
    </row>
    <row r="98" spans="1:34" ht="35.25" hidden="1" x14ac:dyDescent="0.5">
      <c r="A98" s="127">
        <v>112</v>
      </c>
      <c r="B98" s="97" t="s">
        <v>234</v>
      </c>
      <c r="C98" s="39" t="s">
        <v>235</v>
      </c>
      <c r="D98" s="40">
        <v>15</v>
      </c>
      <c r="E98" s="171"/>
      <c r="F98" s="171"/>
      <c r="G98" s="171"/>
      <c r="H98" s="171"/>
      <c r="I98" s="171"/>
      <c r="J98" s="171"/>
      <c r="K98" s="171"/>
      <c r="L98" s="171"/>
      <c r="M98" s="171">
        <v>2</v>
      </c>
      <c r="N98" s="171">
        <v>2</v>
      </c>
      <c r="O98" s="171"/>
      <c r="P98" s="171"/>
      <c r="Q98" s="171"/>
      <c r="R98" s="171"/>
      <c r="S98" s="171"/>
      <c r="T98" s="171"/>
      <c r="U98" s="171"/>
      <c r="V98" s="171"/>
      <c r="W98" s="171">
        <v>6</v>
      </c>
      <c r="X98" s="171">
        <v>3</v>
      </c>
      <c r="Y98" s="171"/>
      <c r="Z98" s="171"/>
      <c r="AA98" s="171"/>
      <c r="AB98" s="171"/>
      <c r="AC98" s="171"/>
      <c r="AD98" s="171"/>
      <c r="AE98" s="171">
        <v>1</v>
      </c>
      <c r="AF98" s="171"/>
      <c r="AG98" s="172">
        <f t="shared" si="1"/>
        <v>14</v>
      </c>
      <c r="AH98" s="173">
        <f>D98-AG98</f>
        <v>1</v>
      </c>
    </row>
    <row r="99" spans="1:34" ht="35.25" hidden="1" x14ac:dyDescent="0.5">
      <c r="A99" s="127">
        <v>113</v>
      </c>
      <c r="B99" s="97" t="s">
        <v>236</v>
      </c>
      <c r="C99" s="39" t="s">
        <v>237</v>
      </c>
      <c r="D99" s="40">
        <v>2</v>
      </c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>
        <v>1</v>
      </c>
      <c r="R99" s="171">
        <v>1</v>
      </c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2">
        <f t="shared" si="1"/>
        <v>2</v>
      </c>
      <c r="AH99" s="173">
        <f>D99-AG99</f>
        <v>0</v>
      </c>
    </row>
    <row r="100" spans="1:34" ht="35.25" hidden="1" x14ac:dyDescent="0.5">
      <c r="A100" s="127">
        <v>114</v>
      </c>
      <c r="B100" s="96" t="s">
        <v>238</v>
      </c>
      <c r="C100" s="37" t="s">
        <v>239</v>
      </c>
      <c r="D100" s="38">
        <v>23</v>
      </c>
      <c r="E100" s="171"/>
      <c r="F100" s="171"/>
      <c r="G100" s="171"/>
      <c r="H100" s="171"/>
      <c r="I100" s="171"/>
      <c r="J100" s="171">
        <v>3</v>
      </c>
      <c r="K100" s="171"/>
      <c r="L100" s="171"/>
      <c r="M100" s="171"/>
      <c r="N100" s="171">
        <f>2+3</f>
        <v>5</v>
      </c>
      <c r="O100" s="171"/>
      <c r="P100" s="171"/>
      <c r="Q100" s="171">
        <v>2</v>
      </c>
      <c r="R100" s="171">
        <v>2</v>
      </c>
      <c r="S100" s="171"/>
      <c r="T100" s="171"/>
      <c r="U100" s="171"/>
      <c r="V100" s="171"/>
      <c r="W100" s="171"/>
      <c r="X100" s="171">
        <v>4</v>
      </c>
      <c r="Y100" s="171"/>
      <c r="Z100" s="171"/>
      <c r="AA100" s="171"/>
      <c r="AB100" s="171">
        <v>1</v>
      </c>
      <c r="AC100" s="171"/>
      <c r="AD100" s="171"/>
      <c r="AE100" s="171">
        <v>1</v>
      </c>
      <c r="AF100" s="171">
        <f>2+1</f>
        <v>3</v>
      </c>
      <c r="AG100" s="172">
        <f t="shared" si="1"/>
        <v>21</v>
      </c>
      <c r="AH100" s="173">
        <f>D100-AG100</f>
        <v>2</v>
      </c>
    </row>
    <row r="101" spans="1:34" ht="35.25" hidden="1" x14ac:dyDescent="0.5">
      <c r="A101" s="127">
        <v>115</v>
      </c>
      <c r="B101" s="97" t="s">
        <v>240</v>
      </c>
      <c r="C101" s="39" t="s">
        <v>241</v>
      </c>
      <c r="D101" s="40">
        <v>2</v>
      </c>
      <c r="E101" s="171"/>
      <c r="F101" s="171"/>
      <c r="G101" s="171"/>
      <c r="H101" s="171"/>
      <c r="I101" s="171"/>
      <c r="J101" s="171"/>
      <c r="K101" s="171"/>
      <c r="L101" s="171"/>
      <c r="M101" s="171"/>
      <c r="N101" s="171">
        <v>1</v>
      </c>
      <c r="O101" s="171"/>
      <c r="P101" s="171"/>
      <c r="Q101" s="171"/>
      <c r="R101" s="171"/>
      <c r="S101" s="171"/>
      <c r="T101" s="171"/>
      <c r="U101" s="171"/>
      <c r="V101" s="171"/>
      <c r="W101" s="171">
        <v>1</v>
      </c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2">
        <f t="shared" si="1"/>
        <v>2</v>
      </c>
      <c r="AH101" s="173">
        <f>D101-AG101</f>
        <v>0</v>
      </c>
    </row>
    <row r="102" spans="1:34" ht="35.25" hidden="1" x14ac:dyDescent="0.5">
      <c r="A102" s="127">
        <v>116</v>
      </c>
      <c r="B102" s="96" t="s">
        <v>242</v>
      </c>
      <c r="C102" s="37" t="s">
        <v>243</v>
      </c>
      <c r="D102" s="38">
        <v>2</v>
      </c>
      <c r="E102" s="171"/>
      <c r="F102" s="171"/>
      <c r="G102" s="171"/>
      <c r="H102" s="171"/>
      <c r="I102" s="171"/>
      <c r="J102" s="171"/>
      <c r="K102" s="171"/>
      <c r="L102" s="171"/>
      <c r="M102" s="171"/>
      <c r="N102" s="171">
        <v>1</v>
      </c>
      <c r="O102" s="171"/>
      <c r="P102" s="171"/>
      <c r="Q102" s="171"/>
      <c r="R102" s="171"/>
      <c r="S102" s="171"/>
      <c r="T102" s="171"/>
      <c r="U102" s="171"/>
      <c r="V102" s="171"/>
      <c r="W102" s="171">
        <v>1</v>
      </c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2">
        <f t="shared" si="1"/>
        <v>2</v>
      </c>
      <c r="AH102" s="173">
        <f>D102-AG102</f>
        <v>0</v>
      </c>
    </row>
    <row r="103" spans="1:34" ht="35.25" hidden="1" x14ac:dyDescent="0.5">
      <c r="A103" s="127">
        <v>117</v>
      </c>
      <c r="B103" s="97" t="s">
        <v>244</v>
      </c>
      <c r="C103" s="39" t="s">
        <v>245</v>
      </c>
      <c r="D103" s="40">
        <v>5</v>
      </c>
      <c r="E103" s="171"/>
      <c r="F103" s="171">
        <v>1</v>
      </c>
      <c r="G103" s="171"/>
      <c r="H103" s="171"/>
      <c r="I103" s="171"/>
      <c r="J103" s="171"/>
      <c r="K103" s="171"/>
      <c r="L103" s="171"/>
      <c r="M103" s="171"/>
      <c r="N103" s="171">
        <v>1</v>
      </c>
      <c r="O103" s="171"/>
      <c r="P103" s="171"/>
      <c r="Q103" s="171"/>
      <c r="R103" s="171"/>
      <c r="S103" s="171"/>
      <c r="T103" s="171"/>
      <c r="U103" s="171"/>
      <c r="V103" s="171"/>
      <c r="W103" s="171">
        <v>1</v>
      </c>
      <c r="X103" s="171">
        <v>2</v>
      </c>
      <c r="Y103" s="171"/>
      <c r="Z103" s="171"/>
      <c r="AA103" s="171"/>
      <c r="AB103" s="171"/>
      <c r="AC103" s="171"/>
      <c r="AD103" s="171"/>
      <c r="AE103" s="171"/>
      <c r="AF103" s="171"/>
      <c r="AG103" s="172">
        <f t="shared" si="1"/>
        <v>5</v>
      </c>
      <c r="AH103" s="173">
        <f>D103-AG103</f>
        <v>0</v>
      </c>
    </row>
    <row r="104" spans="1:34" ht="35.25" hidden="1" x14ac:dyDescent="0.5">
      <c r="A104" s="127">
        <v>118</v>
      </c>
      <c r="B104" s="96" t="s">
        <v>246</v>
      </c>
      <c r="C104" s="37" t="s">
        <v>247</v>
      </c>
      <c r="D104" s="38">
        <v>2</v>
      </c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>
        <v>1</v>
      </c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2">
        <f t="shared" si="1"/>
        <v>1</v>
      </c>
      <c r="AH104" s="173">
        <f>D104-AG104</f>
        <v>1</v>
      </c>
    </row>
    <row r="105" spans="1:34" ht="35.25" hidden="1" x14ac:dyDescent="0.5">
      <c r="A105" s="127">
        <v>119</v>
      </c>
      <c r="B105" s="97" t="s">
        <v>248</v>
      </c>
      <c r="C105" s="39" t="s">
        <v>249</v>
      </c>
      <c r="D105" s="40">
        <v>3</v>
      </c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>
        <v>1</v>
      </c>
      <c r="AE105" s="171"/>
      <c r="AF105" s="171">
        <v>1</v>
      </c>
      <c r="AG105" s="172">
        <f t="shared" si="1"/>
        <v>2</v>
      </c>
      <c r="AH105" s="173">
        <f>D105-AG105</f>
        <v>1</v>
      </c>
    </row>
    <row r="106" spans="1:34" ht="35.25" hidden="1" x14ac:dyDescent="0.5">
      <c r="A106" s="127">
        <v>120</v>
      </c>
      <c r="B106" s="96" t="s">
        <v>250</v>
      </c>
      <c r="C106" s="37" t="s">
        <v>251</v>
      </c>
      <c r="D106" s="38">
        <v>5</v>
      </c>
      <c r="E106" s="171"/>
      <c r="F106" s="171"/>
      <c r="G106" s="171"/>
      <c r="H106" s="171"/>
      <c r="I106" s="171"/>
      <c r="J106" s="171"/>
      <c r="K106" s="171"/>
      <c r="L106" s="171"/>
      <c r="M106" s="171"/>
      <c r="N106" s="171">
        <v>1</v>
      </c>
      <c r="O106" s="171"/>
      <c r="P106" s="171"/>
      <c r="Q106" s="171"/>
      <c r="R106" s="171"/>
      <c r="S106" s="171"/>
      <c r="T106" s="171"/>
      <c r="U106" s="171"/>
      <c r="V106" s="171"/>
      <c r="W106" s="171"/>
      <c r="X106" s="171">
        <f>1+1</f>
        <v>2</v>
      </c>
      <c r="Y106" s="171"/>
      <c r="Z106" s="171"/>
      <c r="AA106" s="171"/>
      <c r="AB106" s="171"/>
      <c r="AC106" s="171"/>
      <c r="AD106" s="171">
        <v>1</v>
      </c>
      <c r="AE106" s="171"/>
      <c r="AF106" s="171">
        <v>1</v>
      </c>
      <c r="AG106" s="172">
        <f t="shared" si="1"/>
        <v>5</v>
      </c>
      <c r="AH106" s="173">
        <f>D106-AG106</f>
        <v>0</v>
      </c>
    </row>
    <row r="107" spans="1:34" ht="35.25" hidden="1" x14ac:dyDescent="0.5">
      <c r="A107" s="127">
        <v>121</v>
      </c>
      <c r="B107" s="97" t="s">
        <v>252</v>
      </c>
      <c r="C107" s="39" t="s">
        <v>253</v>
      </c>
      <c r="D107" s="40">
        <v>7</v>
      </c>
      <c r="E107" s="171"/>
      <c r="F107" s="171"/>
      <c r="G107" s="171"/>
      <c r="H107" s="171"/>
      <c r="I107" s="171"/>
      <c r="J107" s="171"/>
      <c r="K107" s="171"/>
      <c r="L107" s="171"/>
      <c r="M107" s="171"/>
      <c r="N107" s="171">
        <f>1+2</f>
        <v>3</v>
      </c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>
        <v>1</v>
      </c>
      <c r="AE107" s="171">
        <v>2</v>
      </c>
      <c r="AF107" s="171">
        <f>1+1</f>
        <v>2</v>
      </c>
      <c r="AG107" s="172">
        <f t="shared" si="1"/>
        <v>8</v>
      </c>
      <c r="AH107" s="173">
        <f>D107-AG107</f>
        <v>-1</v>
      </c>
    </row>
    <row r="108" spans="1:34" ht="35.25" hidden="1" x14ac:dyDescent="0.5">
      <c r="A108" s="127">
        <v>122</v>
      </c>
      <c r="B108" s="96" t="s">
        <v>254</v>
      </c>
      <c r="C108" s="37" t="s">
        <v>255</v>
      </c>
      <c r="D108" s="38">
        <v>17</v>
      </c>
      <c r="E108" s="171"/>
      <c r="F108" s="171"/>
      <c r="G108" s="171"/>
      <c r="H108" s="171"/>
      <c r="I108" s="171"/>
      <c r="J108" s="171">
        <v>1</v>
      </c>
      <c r="K108" s="171"/>
      <c r="L108" s="171"/>
      <c r="M108" s="171">
        <v>1</v>
      </c>
      <c r="N108" s="171">
        <f>1+1</f>
        <v>2</v>
      </c>
      <c r="O108" s="171"/>
      <c r="P108" s="171"/>
      <c r="Q108" s="171"/>
      <c r="R108" s="171">
        <v>1</v>
      </c>
      <c r="S108" s="171"/>
      <c r="T108" s="171"/>
      <c r="U108" s="171"/>
      <c r="V108" s="171"/>
      <c r="W108" s="171">
        <f>1+2+1</f>
        <v>4</v>
      </c>
      <c r="X108" s="171">
        <v>1</v>
      </c>
      <c r="Y108" s="171"/>
      <c r="Z108" s="171"/>
      <c r="AA108" s="171"/>
      <c r="AB108" s="171"/>
      <c r="AC108" s="171">
        <v>1</v>
      </c>
      <c r="AD108" s="171">
        <v>2</v>
      </c>
      <c r="AE108" s="171">
        <v>1</v>
      </c>
      <c r="AF108" s="171">
        <v>1</v>
      </c>
      <c r="AG108" s="172">
        <f t="shared" si="1"/>
        <v>15</v>
      </c>
      <c r="AH108" s="173">
        <f>D108-AG108</f>
        <v>2</v>
      </c>
    </row>
    <row r="109" spans="1:34" ht="35.25" hidden="1" x14ac:dyDescent="0.5">
      <c r="A109" s="127">
        <v>123</v>
      </c>
      <c r="B109" s="97" t="s">
        <v>256</v>
      </c>
      <c r="C109" s="39" t="s">
        <v>257</v>
      </c>
      <c r="D109" s="40">
        <v>27</v>
      </c>
      <c r="E109" s="171"/>
      <c r="F109" s="171"/>
      <c r="G109" s="171">
        <v>1</v>
      </c>
      <c r="H109" s="171"/>
      <c r="I109" s="171"/>
      <c r="J109" s="171">
        <v>1</v>
      </c>
      <c r="K109" s="171"/>
      <c r="L109" s="171">
        <v>1</v>
      </c>
      <c r="M109" s="171">
        <v>1</v>
      </c>
      <c r="N109" s="171">
        <f>1+3</f>
        <v>4</v>
      </c>
      <c r="O109" s="171"/>
      <c r="P109" s="171"/>
      <c r="Q109" s="171"/>
      <c r="R109" s="171">
        <f>4+1</f>
        <v>5</v>
      </c>
      <c r="S109" s="171"/>
      <c r="T109" s="171"/>
      <c r="U109" s="171"/>
      <c r="V109" s="171"/>
      <c r="W109" s="171">
        <v>9</v>
      </c>
      <c r="X109" s="171">
        <v>2</v>
      </c>
      <c r="Y109" s="171"/>
      <c r="Z109" s="171"/>
      <c r="AA109" s="171"/>
      <c r="AB109" s="171"/>
      <c r="AC109" s="171"/>
      <c r="AD109" s="171"/>
      <c r="AE109" s="171"/>
      <c r="AF109" s="171">
        <v>1</v>
      </c>
      <c r="AG109" s="172">
        <f t="shared" si="1"/>
        <v>25</v>
      </c>
      <c r="AH109" s="173">
        <f>D109-AG109</f>
        <v>2</v>
      </c>
    </row>
    <row r="110" spans="1:34" ht="35.25" hidden="1" x14ac:dyDescent="0.5">
      <c r="A110" s="127">
        <v>124</v>
      </c>
      <c r="B110" s="96" t="s">
        <v>258</v>
      </c>
      <c r="C110" s="37" t="s">
        <v>259</v>
      </c>
      <c r="D110" s="38">
        <v>22</v>
      </c>
      <c r="E110" s="171"/>
      <c r="F110" s="171"/>
      <c r="G110" s="171">
        <v>1</v>
      </c>
      <c r="H110" s="171"/>
      <c r="I110" s="171"/>
      <c r="J110" s="171">
        <v>2</v>
      </c>
      <c r="K110" s="171"/>
      <c r="L110" s="171">
        <v>1</v>
      </c>
      <c r="M110" s="171">
        <v>2</v>
      </c>
      <c r="N110" s="171">
        <v>3</v>
      </c>
      <c r="O110" s="171"/>
      <c r="P110" s="171"/>
      <c r="Q110" s="171"/>
      <c r="R110" s="171">
        <v>1</v>
      </c>
      <c r="S110" s="171"/>
      <c r="T110" s="171"/>
      <c r="U110" s="171"/>
      <c r="V110" s="171"/>
      <c r="W110" s="171">
        <f>2+2</f>
        <v>4</v>
      </c>
      <c r="X110" s="171">
        <v>2</v>
      </c>
      <c r="Y110" s="171"/>
      <c r="Z110" s="171"/>
      <c r="AA110" s="171"/>
      <c r="AB110" s="171"/>
      <c r="AC110" s="171"/>
      <c r="AD110" s="171">
        <v>1</v>
      </c>
      <c r="AE110" s="171"/>
      <c r="AF110" s="171">
        <v>1</v>
      </c>
      <c r="AG110" s="172">
        <f t="shared" ref="AG110:AG173" si="2">SUM(F110:AF110)</f>
        <v>18</v>
      </c>
      <c r="AH110" s="173">
        <f>D110-AG110</f>
        <v>4</v>
      </c>
    </row>
    <row r="111" spans="1:34" ht="35.25" hidden="1" x14ac:dyDescent="0.5">
      <c r="A111" s="127">
        <v>125</v>
      </c>
      <c r="B111" s="97" t="s">
        <v>260</v>
      </c>
      <c r="C111" s="39" t="s">
        <v>261</v>
      </c>
      <c r="D111" s="40">
        <v>8</v>
      </c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>
        <v>4</v>
      </c>
      <c r="X111" s="171">
        <v>1</v>
      </c>
      <c r="Y111" s="171"/>
      <c r="Z111" s="171"/>
      <c r="AA111" s="171"/>
      <c r="AB111" s="171"/>
      <c r="AC111" s="171"/>
      <c r="AD111" s="171"/>
      <c r="AE111" s="171"/>
      <c r="AF111" s="171">
        <v>1</v>
      </c>
      <c r="AG111" s="172">
        <f t="shared" si="2"/>
        <v>6</v>
      </c>
      <c r="AH111" s="173">
        <f>D111-AG111</f>
        <v>2</v>
      </c>
    </row>
    <row r="112" spans="1:34" ht="35.25" hidden="1" x14ac:dyDescent="0.5">
      <c r="A112" s="127">
        <v>126</v>
      </c>
      <c r="B112" s="96" t="s">
        <v>262</v>
      </c>
      <c r="C112" s="37" t="s">
        <v>263</v>
      </c>
      <c r="D112" s="38">
        <v>6</v>
      </c>
      <c r="E112" s="171"/>
      <c r="F112" s="171"/>
      <c r="G112" s="171"/>
      <c r="H112" s="171"/>
      <c r="I112" s="171"/>
      <c r="J112" s="171">
        <v>3</v>
      </c>
      <c r="K112" s="171"/>
      <c r="L112" s="171"/>
      <c r="M112" s="171"/>
      <c r="N112" s="171">
        <v>2</v>
      </c>
      <c r="O112" s="171"/>
      <c r="P112" s="171"/>
      <c r="Q112" s="171"/>
      <c r="R112" s="171"/>
      <c r="S112" s="171"/>
      <c r="T112" s="171"/>
      <c r="U112" s="171"/>
      <c r="V112" s="171"/>
      <c r="W112" s="171">
        <v>1</v>
      </c>
      <c r="X112" s="171"/>
      <c r="Y112" s="171"/>
      <c r="Z112" s="171"/>
      <c r="AA112" s="171"/>
      <c r="AB112" s="171"/>
      <c r="AC112" s="171"/>
      <c r="AD112" s="171"/>
      <c r="AE112" s="171"/>
      <c r="AF112" s="171">
        <v>2</v>
      </c>
      <c r="AG112" s="172">
        <f t="shared" si="2"/>
        <v>8</v>
      </c>
      <c r="AH112" s="173">
        <f>D112-AG112</f>
        <v>-2</v>
      </c>
    </row>
    <row r="113" spans="1:34" ht="35.25" hidden="1" x14ac:dyDescent="0.5">
      <c r="A113" s="127">
        <v>127</v>
      </c>
      <c r="B113" s="97" t="s">
        <v>264</v>
      </c>
      <c r="C113" s="39" t="s">
        <v>265</v>
      </c>
      <c r="D113" s="40">
        <v>17</v>
      </c>
      <c r="E113" s="171"/>
      <c r="F113" s="171">
        <v>1</v>
      </c>
      <c r="G113" s="171"/>
      <c r="H113" s="171"/>
      <c r="I113" s="171">
        <v>1</v>
      </c>
      <c r="J113" s="171">
        <v>3</v>
      </c>
      <c r="K113" s="171"/>
      <c r="L113" s="171"/>
      <c r="M113" s="171">
        <v>3</v>
      </c>
      <c r="N113" s="171">
        <v>2</v>
      </c>
      <c r="O113" s="171"/>
      <c r="P113" s="171"/>
      <c r="Q113" s="171"/>
      <c r="R113" s="171"/>
      <c r="S113" s="171"/>
      <c r="T113" s="171"/>
      <c r="U113" s="171"/>
      <c r="V113" s="171"/>
      <c r="W113" s="171">
        <v>2</v>
      </c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2">
        <f t="shared" si="2"/>
        <v>12</v>
      </c>
      <c r="AH113" s="173">
        <f>D113-AG113</f>
        <v>5</v>
      </c>
    </row>
    <row r="114" spans="1:34" ht="35.25" hidden="1" x14ac:dyDescent="0.5">
      <c r="A114" s="127">
        <v>128</v>
      </c>
      <c r="B114" s="96" t="s">
        <v>266</v>
      </c>
      <c r="C114" s="37" t="s">
        <v>267</v>
      </c>
      <c r="D114" s="38">
        <v>2</v>
      </c>
      <c r="E114" s="171"/>
      <c r="F114" s="171"/>
      <c r="G114" s="171"/>
      <c r="H114" s="171"/>
      <c r="I114" s="171"/>
      <c r="J114" s="171"/>
      <c r="K114" s="171"/>
      <c r="L114" s="171"/>
      <c r="M114" s="171"/>
      <c r="N114" s="171">
        <v>1</v>
      </c>
      <c r="O114" s="171"/>
      <c r="P114" s="171"/>
      <c r="Q114" s="171">
        <v>2</v>
      </c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2">
        <f t="shared" si="2"/>
        <v>3</v>
      </c>
      <c r="AH114" s="174">
        <f>D114-AG114</f>
        <v>-1</v>
      </c>
    </row>
    <row r="115" spans="1:34" ht="35.25" hidden="1" x14ac:dyDescent="0.5">
      <c r="A115" s="127">
        <v>129</v>
      </c>
      <c r="B115" s="97" t="s">
        <v>268</v>
      </c>
      <c r="C115" s="39" t="s">
        <v>269</v>
      </c>
      <c r="D115" s="40">
        <v>4</v>
      </c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>
        <v>2</v>
      </c>
      <c r="R115" s="171"/>
      <c r="S115" s="171"/>
      <c r="T115" s="171"/>
      <c r="U115" s="171"/>
      <c r="V115" s="171"/>
      <c r="W115" s="171"/>
      <c r="X115" s="171">
        <v>1</v>
      </c>
      <c r="Y115" s="171"/>
      <c r="Z115" s="171"/>
      <c r="AA115" s="171"/>
      <c r="AB115" s="171"/>
      <c r="AC115" s="171"/>
      <c r="AD115" s="171"/>
      <c r="AE115" s="171"/>
      <c r="AF115" s="171"/>
      <c r="AG115" s="172">
        <f t="shared" si="2"/>
        <v>3</v>
      </c>
      <c r="AH115" s="173">
        <f>D115-AG115</f>
        <v>1</v>
      </c>
    </row>
    <row r="116" spans="1:34" ht="35.25" hidden="1" x14ac:dyDescent="0.5">
      <c r="A116" s="127">
        <v>130</v>
      </c>
      <c r="B116" s="96" t="s">
        <v>270</v>
      </c>
      <c r="C116" s="37" t="s">
        <v>267</v>
      </c>
      <c r="D116" s="38">
        <v>6</v>
      </c>
      <c r="E116" s="171"/>
      <c r="F116" s="171">
        <v>1</v>
      </c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>
        <f>6+1</f>
        <v>7</v>
      </c>
      <c r="R116" s="171">
        <v>2</v>
      </c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>
        <v>1</v>
      </c>
      <c r="AF116" s="171"/>
      <c r="AG116" s="172">
        <f t="shared" si="2"/>
        <v>11</v>
      </c>
      <c r="AH116" s="173">
        <f>D116-AG116</f>
        <v>-5</v>
      </c>
    </row>
    <row r="117" spans="1:34" ht="35.25" hidden="1" x14ac:dyDescent="0.5">
      <c r="A117" s="127">
        <v>131</v>
      </c>
      <c r="B117" s="97" t="s">
        <v>271</v>
      </c>
      <c r="C117" s="39" t="s">
        <v>272</v>
      </c>
      <c r="D117" s="40">
        <v>6</v>
      </c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>
        <v>1</v>
      </c>
      <c r="X117" s="171">
        <v>4</v>
      </c>
      <c r="Y117" s="171"/>
      <c r="Z117" s="171"/>
      <c r="AA117" s="171"/>
      <c r="AB117" s="171"/>
      <c r="AC117" s="171"/>
      <c r="AD117" s="171">
        <v>1</v>
      </c>
      <c r="AE117" s="171"/>
      <c r="AF117" s="171"/>
      <c r="AG117" s="172">
        <f t="shared" si="2"/>
        <v>6</v>
      </c>
      <c r="AH117" s="173">
        <f>D117-AG117</f>
        <v>0</v>
      </c>
    </row>
    <row r="118" spans="1:34" ht="35.25" hidden="1" x14ac:dyDescent="0.5">
      <c r="A118" s="127">
        <v>132</v>
      </c>
      <c r="B118" s="96" t="s">
        <v>273</v>
      </c>
      <c r="C118" s="37" t="s">
        <v>274</v>
      </c>
      <c r="D118" s="38">
        <v>6</v>
      </c>
      <c r="E118" s="171"/>
      <c r="F118" s="171"/>
      <c r="G118" s="171"/>
      <c r="H118" s="171"/>
      <c r="I118" s="171"/>
      <c r="J118" s="171"/>
      <c r="K118" s="171"/>
      <c r="L118" s="171"/>
      <c r="M118" s="171"/>
      <c r="N118" s="171">
        <v>1</v>
      </c>
      <c r="O118" s="171"/>
      <c r="P118" s="171"/>
      <c r="Q118" s="171"/>
      <c r="R118" s="171">
        <v>2</v>
      </c>
      <c r="S118" s="171"/>
      <c r="T118" s="171"/>
      <c r="U118" s="171"/>
      <c r="V118" s="171"/>
      <c r="W118" s="171">
        <v>1</v>
      </c>
      <c r="X118" s="171">
        <v>1</v>
      </c>
      <c r="Y118" s="171"/>
      <c r="Z118" s="171"/>
      <c r="AA118" s="171"/>
      <c r="AB118" s="171"/>
      <c r="AC118" s="171"/>
      <c r="AD118" s="171"/>
      <c r="AE118" s="171">
        <v>1</v>
      </c>
      <c r="AF118" s="171"/>
      <c r="AG118" s="172">
        <f t="shared" si="2"/>
        <v>6</v>
      </c>
      <c r="AH118" s="173">
        <f>D118-AG118</f>
        <v>0</v>
      </c>
    </row>
    <row r="119" spans="1:34" ht="35.25" hidden="1" x14ac:dyDescent="0.5">
      <c r="A119" s="127">
        <v>133</v>
      </c>
      <c r="B119" s="96" t="s">
        <v>275</v>
      </c>
      <c r="C119" s="37" t="s">
        <v>276</v>
      </c>
      <c r="D119" s="38">
        <v>2</v>
      </c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>
        <v>1</v>
      </c>
      <c r="Y119" s="171"/>
      <c r="Z119" s="171"/>
      <c r="AA119" s="171"/>
      <c r="AB119" s="171"/>
      <c r="AC119" s="171"/>
      <c r="AD119" s="171"/>
      <c r="AE119" s="171"/>
      <c r="AF119" s="171">
        <v>1</v>
      </c>
      <c r="AG119" s="172">
        <f t="shared" si="2"/>
        <v>2</v>
      </c>
      <c r="AH119" s="173">
        <f>D119-AG119</f>
        <v>0</v>
      </c>
    </row>
    <row r="120" spans="1:34" ht="35.25" hidden="1" x14ac:dyDescent="0.5">
      <c r="A120" s="127">
        <v>134</v>
      </c>
      <c r="B120" s="96" t="s">
        <v>277</v>
      </c>
      <c r="C120" s="37" t="s">
        <v>278</v>
      </c>
      <c r="D120" s="38">
        <v>2</v>
      </c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>
        <v>1</v>
      </c>
      <c r="Y120" s="171"/>
      <c r="Z120" s="171"/>
      <c r="AA120" s="171"/>
      <c r="AB120" s="171"/>
      <c r="AC120" s="171"/>
      <c r="AD120" s="171"/>
      <c r="AE120" s="171"/>
      <c r="AF120" s="171"/>
      <c r="AG120" s="172">
        <f t="shared" si="2"/>
        <v>1</v>
      </c>
      <c r="AH120" s="173">
        <f>D120-AG120</f>
        <v>1</v>
      </c>
    </row>
    <row r="121" spans="1:34" ht="35.25" hidden="1" x14ac:dyDescent="0.5">
      <c r="A121" s="127">
        <v>135</v>
      </c>
      <c r="B121" s="96" t="s">
        <v>279</v>
      </c>
      <c r="C121" s="37" t="s">
        <v>280</v>
      </c>
      <c r="D121" s="38">
        <v>22</v>
      </c>
      <c r="E121" s="171"/>
      <c r="F121" s="171">
        <v>1</v>
      </c>
      <c r="G121" s="171"/>
      <c r="H121" s="171"/>
      <c r="I121" s="171"/>
      <c r="J121" s="171">
        <v>2</v>
      </c>
      <c r="K121" s="171"/>
      <c r="L121" s="171"/>
      <c r="M121" s="171"/>
      <c r="N121" s="171">
        <v>7</v>
      </c>
      <c r="O121" s="171"/>
      <c r="P121" s="171"/>
      <c r="Q121" s="171"/>
      <c r="R121" s="171"/>
      <c r="S121" s="171"/>
      <c r="T121" s="171"/>
      <c r="U121" s="171"/>
      <c r="V121" s="171"/>
      <c r="W121" s="171">
        <v>4</v>
      </c>
      <c r="X121" s="171">
        <v>1</v>
      </c>
      <c r="Y121" s="171"/>
      <c r="Z121" s="171"/>
      <c r="AA121" s="171"/>
      <c r="AB121" s="171"/>
      <c r="AC121" s="171"/>
      <c r="AD121" s="171">
        <v>3</v>
      </c>
      <c r="AE121" s="171"/>
      <c r="AF121" s="171">
        <v>5</v>
      </c>
      <c r="AG121" s="172">
        <f t="shared" si="2"/>
        <v>23</v>
      </c>
      <c r="AH121" s="173">
        <f>D121-AG121</f>
        <v>-1</v>
      </c>
    </row>
    <row r="122" spans="1:34" ht="35.25" hidden="1" x14ac:dyDescent="0.5">
      <c r="A122" s="127">
        <v>136</v>
      </c>
      <c r="B122" s="97" t="s">
        <v>281</v>
      </c>
      <c r="C122" s="39" t="s">
        <v>282</v>
      </c>
      <c r="D122" s="40">
        <v>77</v>
      </c>
      <c r="E122" s="171"/>
      <c r="F122" s="171">
        <v>4</v>
      </c>
      <c r="G122" s="171"/>
      <c r="H122" s="171"/>
      <c r="I122" s="171"/>
      <c r="J122" s="171"/>
      <c r="K122" s="171"/>
      <c r="L122" s="171"/>
      <c r="M122" s="171"/>
      <c r="N122" s="171">
        <v>8</v>
      </c>
      <c r="O122" s="171"/>
      <c r="P122" s="171"/>
      <c r="Q122" s="171">
        <v>6</v>
      </c>
      <c r="R122" s="171">
        <v>10</v>
      </c>
      <c r="S122" s="171"/>
      <c r="T122" s="171"/>
      <c r="U122" s="171"/>
      <c r="V122" s="171"/>
      <c r="W122" s="171">
        <f>10+4</f>
        <v>14</v>
      </c>
      <c r="X122" s="171">
        <f>2+6</f>
        <v>8</v>
      </c>
      <c r="Y122" s="171"/>
      <c r="Z122" s="171"/>
      <c r="AA122" s="171"/>
      <c r="AB122" s="171"/>
      <c r="AC122" s="171"/>
      <c r="AD122" s="171">
        <f>2+3+5</f>
        <v>10</v>
      </c>
      <c r="AE122" s="171">
        <v>4</v>
      </c>
      <c r="AF122" s="171">
        <v>2</v>
      </c>
      <c r="AG122" s="172">
        <f t="shared" si="2"/>
        <v>66</v>
      </c>
      <c r="AH122" s="173">
        <f>D122-AG122</f>
        <v>11</v>
      </c>
    </row>
    <row r="123" spans="1:34" ht="35.25" hidden="1" x14ac:dyDescent="0.5">
      <c r="A123" s="127">
        <v>137</v>
      </c>
      <c r="B123" s="96" t="s">
        <v>283</v>
      </c>
      <c r="C123" s="37" t="s">
        <v>284</v>
      </c>
      <c r="D123" s="38">
        <v>16</v>
      </c>
      <c r="E123" s="171"/>
      <c r="F123" s="171"/>
      <c r="G123" s="171"/>
      <c r="H123" s="171"/>
      <c r="I123" s="171"/>
      <c r="J123" s="171"/>
      <c r="K123" s="171"/>
      <c r="L123" s="171"/>
      <c r="M123" s="171"/>
      <c r="N123" s="171">
        <v>5</v>
      </c>
      <c r="O123" s="171"/>
      <c r="P123" s="171"/>
      <c r="Q123" s="171">
        <v>1</v>
      </c>
      <c r="R123" s="171">
        <v>2</v>
      </c>
      <c r="S123" s="171"/>
      <c r="T123" s="171"/>
      <c r="U123" s="171"/>
      <c r="V123" s="171"/>
      <c r="W123" s="171"/>
      <c r="X123" s="171">
        <v>2</v>
      </c>
      <c r="Y123" s="171"/>
      <c r="Z123" s="171"/>
      <c r="AA123" s="171"/>
      <c r="AB123" s="171">
        <v>1</v>
      </c>
      <c r="AC123" s="171"/>
      <c r="AD123" s="171"/>
      <c r="AE123" s="171"/>
      <c r="AF123" s="171"/>
      <c r="AG123" s="172">
        <f t="shared" si="2"/>
        <v>11</v>
      </c>
      <c r="AH123" s="173">
        <f>D123-AG123</f>
        <v>5</v>
      </c>
    </row>
    <row r="124" spans="1:34" ht="35.25" hidden="1" x14ac:dyDescent="0.5">
      <c r="A124" s="127">
        <v>138</v>
      </c>
      <c r="B124" s="96" t="s">
        <v>285</v>
      </c>
      <c r="C124" s="37" t="s">
        <v>286</v>
      </c>
      <c r="D124" s="38">
        <v>15</v>
      </c>
      <c r="E124" s="171"/>
      <c r="F124" s="171">
        <v>2</v>
      </c>
      <c r="G124" s="171"/>
      <c r="H124" s="171"/>
      <c r="I124" s="171"/>
      <c r="J124" s="171"/>
      <c r="K124" s="171"/>
      <c r="L124" s="171"/>
      <c r="M124" s="171"/>
      <c r="N124" s="171">
        <v>4</v>
      </c>
      <c r="O124" s="171"/>
      <c r="P124" s="171"/>
      <c r="Q124" s="171"/>
      <c r="R124" s="171"/>
      <c r="S124" s="171"/>
      <c r="T124" s="171"/>
      <c r="U124" s="171"/>
      <c r="V124" s="171"/>
      <c r="W124" s="171">
        <v>5</v>
      </c>
      <c r="X124" s="171">
        <v>3</v>
      </c>
      <c r="Y124" s="171"/>
      <c r="Z124" s="171"/>
      <c r="AA124" s="171"/>
      <c r="AB124" s="171"/>
      <c r="AC124" s="171"/>
      <c r="AD124" s="171"/>
      <c r="AE124" s="171"/>
      <c r="AF124" s="171">
        <v>1</v>
      </c>
      <c r="AG124" s="172">
        <f t="shared" si="2"/>
        <v>15</v>
      </c>
      <c r="AH124" s="173">
        <f>D124-AG124</f>
        <v>0</v>
      </c>
    </row>
    <row r="125" spans="1:34" ht="35.25" hidden="1" x14ac:dyDescent="0.5">
      <c r="A125" s="127">
        <v>139</v>
      </c>
      <c r="B125" s="97" t="s">
        <v>287</v>
      </c>
      <c r="C125" s="39" t="s">
        <v>288</v>
      </c>
      <c r="D125" s="40">
        <v>28</v>
      </c>
      <c r="E125" s="171"/>
      <c r="F125" s="171">
        <v>2</v>
      </c>
      <c r="G125" s="171"/>
      <c r="H125" s="171"/>
      <c r="I125" s="171"/>
      <c r="J125" s="171">
        <v>2</v>
      </c>
      <c r="K125" s="171"/>
      <c r="L125" s="171"/>
      <c r="M125" s="171"/>
      <c r="N125" s="171">
        <f>3+2+2</f>
        <v>7</v>
      </c>
      <c r="O125" s="171"/>
      <c r="P125" s="171"/>
      <c r="Q125" s="171">
        <v>2</v>
      </c>
      <c r="R125" s="171">
        <v>2</v>
      </c>
      <c r="S125" s="171"/>
      <c r="T125" s="171"/>
      <c r="U125" s="171"/>
      <c r="V125" s="171"/>
      <c r="W125" s="171">
        <f>6+2</f>
        <v>8</v>
      </c>
      <c r="X125" s="171">
        <v>5</v>
      </c>
      <c r="Y125" s="171"/>
      <c r="Z125" s="171"/>
      <c r="AA125" s="171"/>
      <c r="AB125" s="171"/>
      <c r="AC125" s="171"/>
      <c r="AD125" s="171">
        <v>1</v>
      </c>
      <c r="AE125" s="171"/>
      <c r="AF125" s="171">
        <f>1+1</f>
        <v>2</v>
      </c>
      <c r="AG125" s="172">
        <f t="shared" si="2"/>
        <v>31</v>
      </c>
      <c r="AH125" s="173">
        <f>D125-AG125</f>
        <v>-3</v>
      </c>
    </row>
    <row r="126" spans="1:34" ht="35.25" hidden="1" x14ac:dyDescent="0.5">
      <c r="A126" s="127">
        <v>140</v>
      </c>
      <c r="B126" s="97" t="s">
        <v>289</v>
      </c>
      <c r="C126" s="39" t="s">
        <v>290</v>
      </c>
      <c r="D126" s="40">
        <v>1</v>
      </c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>
        <v>1</v>
      </c>
      <c r="AG126" s="172">
        <f t="shared" si="2"/>
        <v>1</v>
      </c>
      <c r="AH126" s="173">
        <f>D126-AG126</f>
        <v>0</v>
      </c>
    </row>
    <row r="127" spans="1:34" ht="35.25" hidden="1" x14ac:dyDescent="0.5">
      <c r="A127" s="127">
        <v>141</v>
      </c>
      <c r="B127" s="96" t="s">
        <v>291</v>
      </c>
      <c r="C127" s="37" t="s">
        <v>292</v>
      </c>
      <c r="D127" s="38">
        <v>2</v>
      </c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2">
        <f t="shared" si="2"/>
        <v>0</v>
      </c>
      <c r="AH127" s="173">
        <f>D127-AG127</f>
        <v>2</v>
      </c>
    </row>
    <row r="128" spans="1:34" ht="35.25" hidden="1" x14ac:dyDescent="0.5">
      <c r="A128" s="127">
        <v>142</v>
      </c>
      <c r="B128" s="97" t="s">
        <v>293</v>
      </c>
      <c r="C128" s="39" t="s">
        <v>294</v>
      </c>
      <c r="D128" s="40">
        <v>1</v>
      </c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>
        <v>1</v>
      </c>
      <c r="AF128" s="171"/>
      <c r="AG128" s="172">
        <f t="shared" si="2"/>
        <v>1</v>
      </c>
      <c r="AH128" s="173">
        <f>D128-AG128</f>
        <v>0</v>
      </c>
    </row>
    <row r="129" spans="1:34" ht="35.25" hidden="1" x14ac:dyDescent="0.5">
      <c r="A129" s="127">
        <v>143</v>
      </c>
      <c r="B129" s="96" t="s">
        <v>295</v>
      </c>
      <c r="C129" s="37" t="s">
        <v>296</v>
      </c>
      <c r="D129" s="38">
        <v>2</v>
      </c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>
        <v>1</v>
      </c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2">
        <f t="shared" si="2"/>
        <v>1</v>
      </c>
      <c r="AH129" s="173">
        <f>D129-AG129</f>
        <v>1</v>
      </c>
    </row>
    <row r="130" spans="1:34" ht="35.25" hidden="1" x14ac:dyDescent="0.5">
      <c r="A130" s="127">
        <v>144</v>
      </c>
      <c r="B130" s="97" t="s">
        <v>297</v>
      </c>
      <c r="C130" s="39" t="s">
        <v>298</v>
      </c>
      <c r="D130" s="40">
        <v>5</v>
      </c>
      <c r="E130" s="171"/>
      <c r="F130" s="171"/>
      <c r="G130" s="171"/>
      <c r="H130" s="171"/>
      <c r="I130" s="171"/>
      <c r="J130" s="171"/>
      <c r="K130" s="171"/>
      <c r="L130" s="171"/>
      <c r="M130" s="171"/>
      <c r="N130" s="171">
        <v>1</v>
      </c>
      <c r="O130" s="171"/>
      <c r="P130" s="171"/>
      <c r="Q130" s="171"/>
      <c r="R130" s="171"/>
      <c r="S130" s="171"/>
      <c r="T130" s="171"/>
      <c r="U130" s="171"/>
      <c r="V130" s="171"/>
      <c r="W130" s="171"/>
      <c r="X130" s="171">
        <v>3</v>
      </c>
      <c r="Y130" s="171"/>
      <c r="Z130" s="171"/>
      <c r="AA130" s="171"/>
      <c r="AB130" s="171">
        <v>1</v>
      </c>
      <c r="AC130" s="171"/>
      <c r="AD130" s="171"/>
      <c r="AE130" s="171"/>
      <c r="AF130" s="171"/>
      <c r="AG130" s="172">
        <f t="shared" si="2"/>
        <v>5</v>
      </c>
      <c r="AH130" s="173">
        <f>D130-AG130</f>
        <v>0</v>
      </c>
    </row>
    <row r="131" spans="1:34" ht="35.25" hidden="1" x14ac:dyDescent="0.5">
      <c r="A131" s="127">
        <v>145</v>
      </c>
      <c r="B131" s="96" t="s">
        <v>299</v>
      </c>
      <c r="C131" s="37" t="s">
        <v>300</v>
      </c>
      <c r="D131" s="38">
        <v>12</v>
      </c>
      <c r="E131" s="171"/>
      <c r="F131" s="171">
        <v>1</v>
      </c>
      <c r="G131" s="171"/>
      <c r="H131" s="171"/>
      <c r="I131" s="171"/>
      <c r="J131" s="171"/>
      <c r="K131" s="171"/>
      <c r="L131" s="171"/>
      <c r="M131" s="171"/>
      <c r="N131" s="171">
        <v>1</v>
      </c>
      <c r="O131" s="171"/>
      <c r="P131" s="171"/>
      <c r="Q131" s="171"/>
      <c r="R131" s="171"/>
      <c r="S131" s="171"/>
      <c r="T131" s="171"/>
      <c r="U131" s="171"/>
      <c r="V131" s="171"/>
      <c r="W131" s="171">
        <v>3</v>
      </c>
      <c r="X131" s="171">
        <f>1+1</f>
        <v>2</v>
      </c>
      <c r="Y131" s="171"/>
      <c r="Z131" s="171"/>
      <c r="AA131" s="171"/>
      <c r="AB131" s="171"/>
      <c r="AC131" s="171"/>
      <c r="AD131" s="171">
        <v>2</v>
      </c>
      <c r="AE131" s="171"/>
      <c r="AF131" s="171">
        <v>3</v>
      </c>
      <c r="AG131" s="172">
        <f t="shared" si="2"/>
        <v>12</v>
      </c>
      <c r="AH131" s="173">
        <f>D131-AG131</f>
        <v>0</v>
      </c>
    </row>
    <row r="132" spans="1:34" ht="35.25" hidden="1" x14ac:dyDescent="0.5">
      <c r="A132" s="127">
        <v>146</v>
      </c>
      <c r="B132" s="97" t="s">
        <v>301</v>
      </c>
      <c r="C132" s="39" t="s">
        <v>302</v>
      </c>
      <c r="D132" s="40">
        <v>2</v>
      </c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>
        <v>1</v>
      </c>
      <c r="Z132" s="171"/>
      <c r="AA132" s="171"/>
      <c r="AB132" s="171"/>
      <c r="AC132" s="171"/>
      <c r="AD132" s="171">
        <v>1</v>
      </c>
      <c r="AE132" s="171"/>
      <c r="AF132" s="171"/>
      <c r="AG132" s="172">
        <f t="shared" si="2"/>
        <v>2</v>
      </c>
      <c r="AH132" s="173">
        <f>D132-AG132</f>
        <v>0</v>
      </c>
    </row>
    <row r="133" spans="1:34" ht="35.25" hidden="1" x14ac:dyDescent="0.5">
      <c r="A133" s="127">
        <v>147</v>
      </c>
      <c r="B133" s="96" t="s">
        <v>303</v>
      </c>
      <c r="C133" s="37" t="s">
        <v>304</v>
      </c>
      <c r="D133" s="38">
        <v>2</v>
      </c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2">
        <f t="shared" si="2"/>
        <v>0</v>
      </c>
      <c r="AH133" s="173">
        <f>D133-AG133</f>
        <v>2</v>
      </c>
    </row>
    <row r="134" spans="1:34" ht="35.25" hidden="1" x14ac:dyDescent="0.5">
      <c r="A134" s="127">
        <v>148</v>
      </c>
      <c r="B134" s="97" t="s">
        <v>305</v>
      </c>
      <c r="C134" s="39" t="s">
        <v>306</v>
      </c>
      <c r="D134" s="40">
        <v>52</v>
      </c>
      <c r="E134" s="171">
        <v>3</v>
      </c>
      <c r="F134" s="171"/>
      <c r="G134" s="171"/>
      <c r="H134" s="171"/>
      <c r="I134" s="171"/>
      <c r="J134" s="171"/>
      <c r="K134" s="171"/>
      <c r="L134" s="171"/>
      <c r="M134" s="171"/>
      <c r="N134" s="171">
        <v>12</v>
      </c>
      <c r="O134" s="171"/>
      <c r="P134" s="171"/>
      <c r="Q134" s="171">
        <v>2</v>
      </c>
      <c r="R134" s="171">
        <v>2</v>
      </c>
      <c r="S134" s="171"/>
      <c r="T134" s="171"/>
      <c r="U134" s="171">
        <v>1</v>
      </c>
      <c r="V134" s="171">
        <v>10</v>
      </c>
      <c r="W134" s="171">
        <v>3</v>
      </c>
      <c r="X134" s="171">
        <v>1</v>
      </c>
      <c r="Y134" s="171"/>
      <c r="Z134" s="171"/>
      <c r="AA134" s="171"/>
      <c r="AB134" s="171"/>
      <c r="AC134" s="171"/>
      <c r="AD134" s="171">
        <v>2</v>
      </c>
      <c r="AE134" s="171"/>
      <c r="AF134" s="171"/>
      <c r="AG134" s="172">
        <f t="shared" si="2"/>
        <v>33</v>
      </c>
      <c r="AH134" s="173">
        <f>D134-AG134</f>
        <v>19</v>
      </c>
    </row>
    <row r="135" spans="1:34" ht="35.25" hidden="1" x14ac:dyDescent="0.5">
      <c r="A135" s="127">
        <v>149</v>
      </c>
      <c r="B135" s="96" t="s">
        <v>307</v>
      </c>
      <c r="C135" s="37" t="s">
        <v>308</v>
      </c>
      <c r="D135" s="38">
        <v>2</v>
      </c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>
        <v>1</v>
      </c>
      <c r="AE135" s="171"/>
      <c r="AF135" s="171"/>
      <c r="AG135" s="172">
        <f t="shared" si="2"/>
        <v>1</v>
      </c>
      <c r="AH135" s="173">
        <f>D135-AG135</f>
        <v>1</v>
      </c>
    </row>
    <row r="136" spans="1:34" ht="35.25" hidden="1" x14ac:dyDescent="0.5">
      <c r="A136" s="127">
        <v>150</v>
      </c>
      <c r="B136" s="97" t="s">
        <v>309</v>
      </c>
      <c r="C136" s="39" t="s">
        <v>308</v>
      </c>
      <c r="D136" s="40">
        <v>2</v>
      </c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2">
        <f t="shared" si="2"/>
        <v>0</v>
      </c>
      <c r="AH136" s="173">
        <f>D136-AG136</f>
        <v>2</v>
      </c>
    </row>
    <row r="137" spans="1:34" ht="35.25" hidden="1" x14ac:dyDescent="0.5">
      <c r="A137" s="127">
        <v>151</v>
      </c>
      <c r="B137" s="96" t="s">
        <v>310</v>
      </c>
      <c r="C137" s="37" t="s">
        <v>311</v>
      </c>
      <c r="D137" s="38">
        <v>27</v>
      </c>
      <c r="E137" s="171"/>
      <c r="F137" s="171"/>
      <c r="G137" s="171">
        <v>1</v>
      </c>
      <c r="H137" s="171"/>
      <c r="I137" s="171"/>
      <c r="J137" s="171">
        <v>5</v>
      </c>
      <c r="K137" s="171"/>
      <c r="L137" s="171"/>
      <c r="M137" s="171">
        <v>2</v>
      </c>
      <c r="N137" s="171">
        <v>2</v>
      </c>
      <c r="O137" s="171"/>
      <c r="P137" s="171"/>
      <c r="Q137" s="171"/>
      <c r="R137" s="171">
        <f>2+3</f>
        <v>5</v>
      </c>
      <c r="S137" s="171"/>
      <c r="T137" s="171"/>
      <c r="U137" s="171"/>
      <c r="V137" s="171"/>
      <c r="W137" s="171">
        <v>2</v>
      </c>
      <c r="X137" s="171">
        <f>2+1+2</f>
        <v>5</v>
      </c>
      <c r="Y137" s="171"/>
      <c r="Z137" s="171"/>
      <c r="AA137" s="171"/>
      <c r="AB137" s="171"/>
      <c r="AC137" s="171">
        <v>1</v>
      </c>
      <c r="AD137" s="171">
        <v>3</v>
      </c>
      <c r="AE137" s="171">
        <v>1</v>
      </c>
      <c r="AF137" s="171"/>
      <c r="AG137" s="172">
        <f t="shared" si="2"/>
        <v>27</v>
      </c>
      <c r="AH137" s="173">
        <f>D137-AG137</f>
        <v>0</v>
      </c>
    </row>
    <row r="138" spans="1:34" ht="35.25" hidden="1" x14ac:dyDescent="0.5">
      <c r="A138" s="127">
        <v>152</v>
      </c>
      <c r="B138" s="97" t="s">
        <v>312</v>
      </c>
      <c r="C138" s="39" t="s">
        <v>313</v>
      </c>
      <c r="D138" s="40">
        <v>3</v>
      </c>
      <c r="E138" s="171"/>
      <c r="F138" s="171"/>
      <c r="G138" s="171"/>
      <c r="H138" s="171"/>
      <c r="I138" s="171"/>
      <c r="J138" s="171"/>
      <c r="K138" s="171"/>
      <c r="L138" s="171"/>
      <c r="M138" s="171"/>
      <c r="N138" s="171">
        <v>1</v>
      </c>
      <c r="O138" s="171"/>
      <c r="P138" s="171"/>
      <c r="Q138" s="171">
        <v>1</v>
      </c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>
        <v>1</v>
      </c>
      <c r="AE138" s="171"/>
      <c r="AF138" s="171"/>
      <c r="AG138" s="172">
        <f t="shared" si="2"/>
        <v>3</v>
      </c>
      <c r="AH138" s="173">
        <f>D138-AG138</f>
        <v>0</v>
      </c>
    </row>
    <row r="139" spans="1:34" ht="35.25" hidden="1" x14ac:dyDescent="0.5">
      <c r="A139" s="127">
        <v>153</v>
      </c>
      <c r="B139" s="96" t="s">
        <v>314</v>
      </c>
      <c r="C139" s="37" t="s">
        <v>315</v>
      </c>
      <c r="D139" s="38">
        <v>17</v>
      </c>
      <c r="E139" s="171"/>
      <c r="F139" s="171"/>
      <c r="G139" s="171"/>
      <c r="H139" s="171"/>
      <c r="I139" s="171"/>
      <c r="J139" s="171"/>
      <c r="K139" s="171"/>
      <c r="L139" s="171"/>
      <c r="M139" s="171"/>
      <c r="N139" s="171">
        <v>2</v>
      </c>
      <c r="O139" s="171"/>
      <c r="P139" s="171"/>
      <c r="Q139" s="171"/>
      <c r="R139" s="171">
        <f>2+2</f>
        <v>4</v>
      </c>
      <c r="S139" s="171"/>
      <c r="T139" s="171"/>
      <c r="U139" s="171"/>
      <c r="V139" s="171"/>
      <c r="W139" s="171">
        <f>2+1</f>
        <v>3</v>
      </c>
      <c r="X139" s="171">
        <v>1</v>
      </c>
      <c r="Y139" s="171"/>
      <c r="Z139" s="171"/>
      <c r="AA139" s="171"/>
      <c r="AB139" s="171"/>
      <c r="AC139" s="171"/>
      <c r="AD139" s="171"/>
      <c r="AE139" s="171"/>
      <c r="AF139" s="171">
        <v>3</v>
      </c>
      <c r="AG139" s="172">
        <f t="shared" si="2"/>
        <v>13</v>
      </c>
      <c r="AH139" s="173">
        <f>D139-AG139</f>
        <v>4</v>
      </c>
    </row>
    <row r="140" spans="1:34" ht="35.25" hidden="1" x14ac:dyDescent="0.5">
      <c r="A140" s="127">
        <v>154</v>
      </c>
      <c r="B140" s="97" t="s">
        <v>316</v>
      </c>
      <c r="C140" s="39" t="s">
        <v>317</v>
      </c>
      <c r="D140" s="40">
        <v>2</v>
      </c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>
        <v>1</v>
      </c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2">
        <f t="shared" si="2"/>
        <v>1</v>
      </c>
      <c r="AH140" s="173">
        <f>D140-AG140</f>
        <v>1</v>
      </c>
    </row>
    <row r="141" spans="1:34" ht="35.25" hidden="1" x14ac:dyDescent="0.5">
      <c r="A141" s="127">
        <v>155</v>
      </c>
      <c r="B141" s="96" t="s">
        <v>318</v>
      </c>
      <c r="C141" s="37" t="s">
        <v>319</v>
      </c>
      <c r="D141" s="38">
        <v>2</v>
      </c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>
        <v>2</v>
      </c>
      <c r="AG141" s="172">
        <f t="shared" si="2"/>
        <v>2</v>
      </c>
      <c r="AH141" s="173">
        <f>D141-AG141</f>
        <v>0</v>
      </c>
    </row>
    <row r="142" spans="1:34" ht="35.25" hidden="1" x14ac:dyDescent="0.5">
      <c r="A142" s="127">
        <v>156</v>
      </c>
      <c r="B142" s="97" t="s">
        <v>320</v>
      </c>
      <c r="C142" s="39" t="s">
        <v>321</v>
      </c>
      <c r="D142" s="40">
        <v>32</v>
      </c>
      <c r="E142" s="171"/>
      <c r="F142" s="171"/>
      <c r="G142" s="171"/>
      <c r="H142" s="171"/>
      <c r="I142" s="171"/>
      <c r="J142" s="171">
        <v>2</v>
      </c>
      <c r="K142" s="171"/>
      <c r="L142" s="171">
        <v>3</v>
      </c>
      <c r="M142" s="171">
        <v>2</v>
      </c>
      <c r="N142" s="171">
        <v>2</v>
      </c>
      <c r="O142" s="171"/>
      <c r="P142" s="171"/>
      <c r="Q142" s="171">
        <v>6</v>
      </c>
      <c r="R142" s="171"/>
      <c r="S142" s="171"/>
      <c r="T142" s="171"/>
      <c r="U142" s="171"/>
      <c r="V142" s="171"/>
      <c r="W142" s="171">
        <v>6</v>
      </c>
      <c r="X142" s="171">
        <v>4</v>
      </c>
      <c r="Y142" s="171"/>
      <c r="Z142" s="171"/>
      <c r="AA142" s="171"/>
      <c r="AB142" s="171"/>
      <c r="AC142" s="171"/>
      <c r="AD142" s="171">
        <f>1+1</f>
        <v>2</v>
      </c>
      <c r="AE142" s="171"/>
      <c r="AF142" s="171"/>
      <c r="AG142" s="172">
        <f t="shared" si="2"/>
        <v>27</v>
      </c>
      <c r="AH142" s="173">
        <f>D142-AG142</f>
        <v>5</v>
      </c>
    </row>
    <row r="143" spans="1:34" ht="35.25" hidden="1" x14ac:dyDescent="0.5">
      <c r="A143" s="127">
        <v>157</v>
      </c>
      <c r="B143" s="96" t="s">
        <v>322</v>
      </c>
      <c r="C143" s="37" t="s">
        <v>323</v>
      </c>
      <c r="D143" s="38">
        <v>2</v>
      </c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>
        <v>1</v>
      </c>
      <c r="AG143" s="172">
        <f t="shared" si="2"/>
        <v>1</v>
      </c>
      <c r="AH143" s="173">
        <f>D143-AG143</f>
        <v>1</v>
      </c>
    </row>
    <row r="144" spans="1:34" ht="35.25" hidden="1" x14ac:dyDescent="0.5">
      <c r="A144" s="127">
        <v>158</v>
      </c>
      <c r="B144" s="97" t="s">
        <v>324</v>
      </c>
      <c r="C144" s="39" t="s">
        <v>323</v>
      </c>
      <c r="D144" s="40">
        <v>2</v>
      </c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2">
        <f t="shared" si="2"/>
        <v>0</v>
      </c>
      <c r="AH144" s="173">
        <f>D144-AG144</f>
        <v>2</v>
      </c>
    </row>
    <row r="145" spans="1:34" ht="35.25" hidden="1" x14ac:dyDescent="0.5">
      <c r="A145" s="127">
        <v>159</v>
      </c>
      <c r="B145" s="96" t="s">
        <v>325</v>
      </c>
      <c r="C145" s="37" t="s">
        <v>326</v>
      </c>
      <c r="D145" s="38">
        <v>2</v>
      </c>
      <c r="E145" s="171"/>
      <c r="F145" s="171"/>
      <c r="G145" s="171"/>
      <c r="H145" s="171"/>
      <c r="I145" s="171"/>
      <c r="J145" s="171"/>
      <c r="K145" s="171"/>
      <c r="L145" s="171"/>
      <c r="M145" s="171"/>
      <c r="N145" s="171">
        <v>1</v>
      </c>
      <c r="O145" s="171"/>
      <c r="P145" s="171"/>
      <c r="Q145" s="171"/>
      <c r="R145" s="171"/>
      <c r="S145" s="171"/>
      <c r="T145" s="171"/>
      <c r="U145" s="171"/>
      <c r="V145" s="171"/>
      <c r="W145" s="171">
        <v>1</v>
      </c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2">
        <f t="shared" si="2"/>
        <v>2</v>
      </c>
      <c r="AH145" s="173">
        <f>D145-AG145</f>
        <v>0</v>
      </c>
    </row>
    <row r="146" spans="1:34" ht="35.25" hidden="1" x14ac:dyDescent="0.5">
      <c r="A146" s="127">
        <v>160</v>
      </c>
      <c r="B146" s="97" t="s">
        <v>327</v>
      </c>
      <c r="C146" s="39" t="s">
        <v>326</v>
      </c>
      <c r="D146" s="40">
        <v>12</v>
      </c>
      <c r="E146" s="171"/>
      <c r="F146" s="171"/>
      <c r="G146" s="171"/>
      <c r="H146" s="171"/>
      <c r="I146" s="171"/>
      <c r="J146" s="171"/>
      <c r="K146" s="171"/>
      <c r="L146" s="171"/>
      <c r="M146" s="171"/>
      <c r="N146" s="171">
        <v>2</v>
      </c>
      <c r="O146" s="171"/>
      <c r="P146" s="171"/>
      <c r="Q146" s="171">
        <v>3</v>
      </c>
      <c r="R146" s="171"/>
      <c r="S146" s="171"/>
      <c r="T146" s="171"/>
      <c r="U146" s="171"/>
      <c r="V146" s="171"/>
      <c r="W146" s="171">
        <v>1</v>
      </c>
      <c r="X146" s="171">
        <v>4</v>
      </c>
      <c r="Y146" s="171"/>
      <c r="Z146" s="171"/>
      <c r="AA146" s="171"/>
      <c r="AB146" s="171"/>
      <c r="AC146" s="171"/>
      <c r="AD146" s="171"/>
      <c r="AE146" s="171"/>
      <c r="AF146" s="171"/>
      <c r="AG146" s="172">
        <f t="shared" si="2"/>
        <v>10</v>
      </c>
      <c r="AH146" s="173">
        <f>D146-AG146</f>
        <v>2</v>
      </c>
    </row>
    <row r="147" spans="1:34" ht="35.25" hidden="1" x14ac:dyDescent="0.5">
      <c r="A147" s="127">
        <v>161</v>
      </c>
      <c r="B147" s="96" t="s">
        <v>328</v>
      </c>
      <c r="C147" s="37" t="s">
        <v>329</v>
      </c>
      <c r="D147" s="38">
        <v>2</v>
      </c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>
        <v>1</v>
      </c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2">
        <f t="shared" si="2"/>
        <v>1</v>
      </c>
      <c r="AH147" s="173">
        <f>D147-AG147</f>
        <v>1</v>
      </c>
    </row>
    <row r="148" spans="1:34" ht="35.25" hidden="1" x14ac:dyDescent="0.5">
      <c r="A148" s="127">
        <v>162</v>
      </c>
      <c r="B148" s="96" t="s">
        <v>330</v>
      </c>
      <c r="C148" s="37" t="s">
        <v>331</v>
      </c>
      <c r="D148" s="38">
        <v>2</v>
      </c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2">
        <f t="shared" si="2"/>
        <v>0</v>
      </c>
      <c r="AH148" s="173">
        <f>D148-AG148</f>
        <v>2</v>
      </c>
    </row>
    <row r="149" spans="1:34" ht="35.25" hidden="1" x14ac:dyDescent="0.5">
      <c r="A149" s="127">
        <v>163</v>
      </c>
      <c r="B149" s="97" t="s">
        <v>332</v>
      </c>
      <c r="C149" s="39" t="s">
        <v>333</v>
      </c>
      <c r="D149" s="40">
        <v>2</v>
      </c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2">
        <f t="shared" si="2"/>
        <v>0</v>
      </c>
      <c r="AH149" s="173">
        <f>D149-AG149</f>
        <v>2</v>
      </c>
    </row>
    <row r="150" spans="1:34" ht="35.25" hidden="1" x14ac:dyDescent="0.5">
      <c r="A150" s="127">
        <v>164</v>
      </c>
      <c r="B150" s="96" t="s">
        <v>334</v>
      </c>
      <c r="C150" s="37" t="s">
        <v>335</v>
      </c>
      <c r="D150" s="38">
        <v>2</v>
      </c>
      <c r="E150" s="171"/>
      <c r="F150" s="171"/>
      <c r="G150" s="171"/>
      <c r="H150" s="171"/>
      <c r="I150" s="171"/>
      <c r="J150" s="171"/>
      <c r="K150" s="171">
        <v>2</v>
      </c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2">
        <f t="shared" si="2"/>
        <v>2</v>
      </c>
      <c r="AH150" s="173">
        <f>D150-AG150</f>
        <v>0</v>
      </c>
    </row>
    <row r="151" spans="1:34" ht="35.25" hidden="1" x14ac:dyDescent="0.5">
      <c r="A151" s="127">
        <v>165</v>
      </c>
      <c r="B151" s="97" t="s">
        <v>336</v>
      </c>
      <c r="C151" s="39" t="s">
        <v>337</v>
      </c>
      <c r="D151" s="40">
        <v>2</v>
      </c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>
        <v>2</v>
      </c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2">
        <f t="shared" si="2"/>
        <v>2</v>
      </c>
      <c r="AH151" s="173">
        <f>D151-AG151</f>
        <v>0</v>
      </c>
    </row>
    <row r="152" spans="1:34" ht="35.25" hidden="1" x14ac:dyDescent="0.5">
      <c r="A152" s="127">
        <v>166</v>
      </c>
      <c r="B152" s="96" t="s">
        <v>338</v>
      </c>
      <c r="C152" s="37" t="s">
        <v>339</v>
      </c>
      <c r="D152" s="38">
        <v>2</v>
      </c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2">
        <f t="shared" si="2"/>
        <v>0</v>
      </c>
      <c r="AH152" s="173">
        <f>D152-AG152</f>
        <v>2</v>
      </c>
    </row>
    <row r="153" spans="1:34" ht="35.25" hidden="1" x14ac:dyDescent="0.5">
      <c r="A153" s="127">
        <v>167</v>
      </c>
      <c r="B153" s="97" t="s">
        <v>340</v>
      </c>
      <c r="C153" s="39" t="s">
        <v>341</v>
      </c>
      <c r="D153" s="40">
        <v>2</v>
      </c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2">
        <f t="shared" si="2"/>
        <v>0</v>
      </c>
      <c r="AH153" s="173">
        <f>D153-AG153</f>
        <v>2</v>
      </c>
    </row>
    <row r="154" spans="1:34" ht="35.25" hidden="1" x14ac:dyDescent="0.5">
      <c r="A154" s="127">
        <v>168</v>
      </c>
      <c r="B154" s="96" t="s">
        <v>342</v>
      </c>
      <c r="C154" s="37" t="s">
        <v>341</v>
      </c>
      <c r="D154" s="38">
        <v>2</v>
      </c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>
        <v>2</v>
      </c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2">
        <f t="shared" si="2"/>
        <v>2</v>
      </c>
      <c r="AH154" s="173">
        <f>D154-AG154</f>
        <v>0</v>
      </c>
    </row>
    <row r="155" spans="1:34" ht="35.25" hidden="1" x14ac:dyDescent="0.5">
      <c r="A155" s="127">
        <v>169</v>
      </c>
      <c r="B155" s="97" t="s">
        <v>343</v>
      </c>
      <c r="C155" s="39" t="s">
        <v>344</v>
      </c>
      <c r="D155" s="40">
        <v>2</v>
      </c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2">
        <f t="shared" si="2"/>
        <v>0</v>
      </c>
      <c r="AH155" s="173">
        <f>D155-AG155</f>
        <v>2</v>
      </c>
    </row>
    <row r="156" spans="1:34" ht="35.25" hidden="1" x14ac:dyDescent="0.5">
      <c r="A156" s="127">
        <v>170</v>
      </c>
      <c r="B156" s="96" t="s">
        <v>345</v>
      </c>
      <c r="C156" s="37" t="s">
        <v>346</v>
      </c>
      <c r="D156" s="38">
        <v>2</v>
      </c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2">
        <f t="shared" si="2"/>
        <v>0</v>
      </c>
      <c r="AH156" s="173">
        <f>D156-AG156</f>
        <v>2</v>
      </c>
    </row>
    <row r="157" spans="1:34" ht="35.25" hidden="1" x14ac:dyDescent="0.5">
      <c r="A157" s="127">
        <v>171</v>
      </c>
      <c r="B157" s="97" t="s">
        <v>347</v>
      </c>
      <c r="C157" s="39" t="s">
        <v>348</v>
      </c>
      <c r="D157" s="40">
        <v>2</v>
      </c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2">
        <f t="shared" si="2"/>
        <v>0</v>
      </c>
      <c r="AH157" s="173">
        <f>D157-AG157</f>
        <v>2</v>
      </c>
    </row>
    <row r="158" spans="1:34" ht="35.25" hidden="1" x14ac:dyDescent="0.5">
      <c r="A158" s="127">
        <v>172</v>
      </c>
      <c r="B158" s="96" t="s">
        <v>349</v>
      </c>
      <c r="C158" s="37" t="s">
        <v>350</v>
      </c>
      <c r="D158" s="38">
        <v>2</v>
      </c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>
        <v>2</v>
      </c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2">
        <f t="shared" si="2"/>
        <v>2</v>
      </c>
      <c r="AH158" s="173">
        <f>D158-AG158</f>
        <v>0</v>
      </c>
    </row>
    <row r="159" spans="1:34" ht="35.25" hidden="1" x14ac:dyDescent="0.5">
      <c r="A159" s="127">
        <v>173</v>
      </c>
      <c r="B159" s="97" t="s">
        <v>351</v>
      </c>
      <c r="C159" s="39" t="s">
        <v>352</v>
      </c>
      <c r="D159" s="40">
        <v>2</v>
      </c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>
        <v>2</v>
      </c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2">
        <f t="shared" si="2"/>
        <v>2</v>
      </c>
      <c r="AH159" s="173">
        <f>D159-AG159</f>
        <v>0</v>
      </c>
    </row>
    <row r="160" spans="1:34" ht="35.25" hidden="1" x14ac:dyDescent="0.5">
      <c r="A160" s="127">
        <v>174</v>
      </c>
      <c r="B160" s="96" t="s">
        <v>353</v>
      </c>
      <c r="C160" s="37" t="s">
        <v>354</v>
      </c>
      <c r="D160" s="38">
        <v>2</v>
      </c>
      <c r="E160" s="171"/>
      <c r="F160" s="171">
        <v>2</v>
      </c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2">
        <f t="shared" si="2"/>
        <v>2</v>
      </c>
      <c r="AH160" s="173">
        <f>D160-AG160</f>
        <v>0</v>
      </c>
    </row>
    <row r="161" spans="1:34" ht="35.25" hidden="1" x14ac:dyDescent="0.5">
      <c r="A161" s="127">
        <v>175</v>
      </c>
      <c r="B161" s="97" t="s">
        <v>355</v>
      </c>
      <c r="C161" s="39" t="s">
        <v>356</v>
      </c>
      <c r="D161" s="40">
        <v>384</v>
      </c>
      <c r="E161" s="171"/>
      <c r="F161" s="171">
        <v>45</v>
      </c>
      <c r="G161" s="171"/>
      <c r="H161" s="171"/>
      <c r="I161" s="171"/>
      <c r="J161" s="171">
        <f>12+18</f>
        <v>30</v>
      </c>
      <c r="K161" s="171"/>
      <c r="L161" s="171"/>
      <c r="M161" s="171"/>
      <c r="N161" s="171">
        <v>92</v>
      </c>
      <c r="O161" s="171"/>
      <c r="P161" s="171"/>
      <c r="Q161" s="171">
        <v>50</v>
      </c>
      <c r="R161" s="171"/>
      <c r="S161" s="171"/>
      <c r="T161" s="171"/>
      <c r="U161" s="171"/>
      <c r="V161" s="171"/>
      <c r="W161" s="171">
        <v>62</v>
      </c>
      <c r="X161" s="171">
        <f>69+1</f>
        <v>70</v>
      </c>
      <c r="Y161" s="171"/>
      <c r="Z161" s="171"/>
      <c r="AA161" s="171"/>
      <c r="AB161" s="171"/>
      <c r="AC161" s="171"/>
      <c r="AD161" s="171"/>
      <c r="AE161" s="171"/>
      <c r="AF161" s="171">
        <v>3</v>
      </c>
      <c r="AG161" s="172">
        <f t="shared" si="2"/>
        <v>352</v>
      </c>
      <c r="AH161" s="173">
        <f>D161-AG161</f>
        <v>32</v>
      </c>
    </row>
    <row r="162" spans="1:34" ht="35.25" hidden="1" x14ac:dyDescent="0.5">
      <c r="A162" s="127">
        <v>176</v>
      </c>
      <c r="B162" s="97" t="s">
        <v>357</v>
      </c>
      <c r="C162" s="39" t="s">
        <v>358</v>
      </c>
      <c r="D162" s="40">
        <v>24</v>
      </c>
      <c r="E162" s="171"/>
      <c r="F162" s="171"/>
      <c r="G162" s="171"/>
      <c r="H162" s="171"/>
      <c r="I162" s="171"/>
      <c r="J162" s="171"/>
      <c r="K162" s="171"/>
      <c r="L162" s="171"/>
      <c r="M162" s="171"/>
      <c r="N162" s="171">
        <v>12</v>
      </c>
      <c r="O162" s="171"/>
      <c r="P162" s="171"/>
      <c r="Q162" s="171"/>
      <c r="R162" s="171"/>
      <c r="S162" s="171"/>
      <c r="T162" s="171"/>
      <c r="U162" s="171"/>
      <c r="V162" s="171"/>
      <c r="W162" s="171">
        <v>6</v>
      </c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2">
        <f t="shared" si="2"/>
        <v>18</v>
      </c>
      <c r="AH162" s="173">
        <f>D162-AG162</f>
        <v>6</v>
      </c>
    </row>
    <row r="163" spans="1:34" ht="35.25" hidden="1" x14ac:dyDescent="0.5">
      <c r="A163" s="127">
        <v>177</v>
      </c>
      <c r="B163" s="97" t="s">
        <v>359</v>
      </c>
      <c r="C163" s="39" t="s">
        <v>356</v>
      </c>
      <c r="D163" s="40">
        <v>24</v>
      </c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>
        <v>6</v>
      </c>
      <c r="Y163" s="171"/>
      <c r="Z163" s="171"/>
      <c r="AA163" s="171"/>
      <c r="AB163" s="171"/>
      <c r="AC163" s="171"/>
      <c r="AD163" s="171"/>
      <c r="AE163" s="171">
        <v>4</v>
      </c>
      <c r="AF163" s="171"/>
      <c r="AG163" s="172">
        <f t="shared" si="2"/>
        <v>10</v>
      </c>
      <c r="AH163" s="173">
        <f>D163-AG163</f>
        <v>14</v>
      </c>
    </row>
    <row r="164" spans="1:34" ht="35.25" hidden="1" x14ac:dyDescent="0.5">
      <c r="A164" s="127">
        <v>178</v>
      </c>
      <c r="B164" s="97" t="s">
        <v>360</v>
      </c>
      <c r="C164" s="39" t="s">
        <v>361</v>
      </c>
      <c r="D164" s="40">
        <v>2</v>
      </c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>
        <v>2</v>
      </c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2">
        <f t="shared" si="2"/>
        <v>2</v>
      </c>
      <c r="AH164" s="173">
        <f>D164-AG164</f>
        <v>0</v>
      </c>
    </row>
    <row r="165" spans="1:34" ht="35.25" hidden="1" x14ac:dyDescent="0.5">
      <c r="A165" s="127">
        <v>179</v>
      </c>
      <c r="B165" s="96" t="s">
        <v>362</v>
      </c>
      <c r="C165" s="37" t="s">
        <v>363</v>
      </c>
      <c r="D165" s="38">
        <v>2</v>
      </c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2">
        <f t="shared" si="2"/>
        <v>0</v>
      </c>
      <c r="AH165" s="173">
        <f>D165-AG165</f>
        <v>2</v>
      </c>
    </row>
    <row r="166" spans="1:34" ht="35.25" hidden="1" x14ac:dyDescent="0.5">
      <c r="A166" s="127">
        <v>180</v>
      </c>
      <c r="B166" s="97" t="s">
        <v>364</v>
      </c>
      <c r="C166" s="39" t="s">
        <v>365</v>
      </c>
      <c r="D166" s="40">
        <v>2</v>
      </c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2">
        <f t="shared" si="2"/>
        <v>0</v>
      </c>
      <c r="AH166" s="173">
        <f>D166-AG166</f>
        <v>2</v>
      </c>
    </row>
    <row r="167" spans="1:34" ht="35.25" hidden="1" x14ac:dyDescent="0.5">
      <c r="A167" s="127">
        <v>181</v>
      </c>
      <c r="B167" s="96" t="s">
        <v>366</v>
      </c>
      <c r="C167" s="37" t="s">
        <v>367</v>
      </c>
      <c r="D167" s="38">
        <v>12</v>
      </c>
      <c r="E167" s="171"/>
      <c r="F167" s="171"/>
      <c r="G167" s="171"/>
      <c r="H167" s="171"/>
      <c r="I167" s="171"/>
      <c r="J167" s="171"/>
      <c r="K167" s="171"/>
      <c r="L167" s="171"/>
      <c r="M167" s="171"/>
      <c r="N167" s="171">
        <v>6</v>
      </c>
      <c r="O167" s="171"/>
      <c r="P167" s="171"/>
      <c r="Q167" s="171">
        <v>6</v>
      </c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2">
        <f t="shared" si="2"/>
        <v>12</v>
      </c>
      <c r="AH167" s="173">
        <f>D167-AG167</f>
        <v>0</v>
      </c>
    </row>
    <row r="168" spans="1:34" ht="35.25" hidden="1" x14ac:dyDescent="0.5">
      <c r="A168" s="127">
        <v>182</v>
      </c>
      <c r="B168" s="96" t="s">
        <v>368</v>
      </c>
      <c r="C168" s="37" t="s">
        <v>369</v>
      </c>
      <c r="D168" s="38">
        <v>24</v>
      </c>
      <c r="E168" s="171"/>
      <c r="F168" s="171"/>
      <c r="G168" s="171"/>
      <c r="H168" s="171"/>
      <c r="I168" s="171"/>
      <c r="J168" s="171"/>
      <c r="K168" s="171"/>
      <c r="L168" s="171"/>
      <c r="M168" s="171"/>
      <c r="N168" s="171">
        <v>5</v>
      </c>
      <c r="O168" s="171"/>
      <c r="P168" s="171"/>
      <c r="Q168" s="171"/>
      <c r="R168" s="171"/>
      <c r="S168" s="171"/>
      <c r="T168" s="171"/>
      <c r="U168" s="171"/>
      <c r="V168" s="171"/>
      <c r="W168" s="171">
        <v>6</v>
      </c>
      <c r="X168" s="171">
        <f>6</f>
        <v>6</v>
      </c>
      <c r="Y168" s="171"/>
      <c r="Z168" s="171"/>
      <c r="AA168" s="171"/>
      <c r="AB168" s="171"/>
      <c r="AC168" s="171"/>
      <c r="AD168" s="171"/>
      <c r="AE168" s="171"/>
      <c r="AF168" s="171"/>
      <c r="AG168" s="172">
        <f t="shared" si="2"/>
        <v>17</v>
      </c>
      <c r="AH168" s="173">
        <f>D168-AG168</f>
        <v>7</v>
      </c>
    </row>
    <row r="169" spans="1:34" ht="35.25" hidden="1" x14ac:dyDescent="0.5">
      <c r="A169" s="127">
        <v>183</v>
      </c>
      <c r="B169" s="96" t="s">
        <v>370</v>
      </c>
      <c r="C169" s="37" t="s">
        <v>371</v>
      </c>
      <c r="D169" s="38">
        <v>36</v>
      </c>
      <c r="E169" s="171"/>
      <c r="F169" s="171"/>
      <c r="G169" s="171"/>
      <c r="H169" s="171"/>
      <c r="I169" s="171"/>
      <c r="J169" s="171"/>
      <c r="K169" s="171"/>
      <c r="L169" s="171"/>
      <c r="M169" s="171"/>
      <c r="N169" s="171">
        <v>24</v>
      </c>
      <c r="O169" s="171"/>
      <c r="P169" s="171"/>
      <c r="Q169" s="171"/>
      <c r="R169" s="171"/>
      <c r="S169" s="171"/>
      <c r="T169" s="171"/>
      <c r="U169" s="171"/>
      <c r="V169" s="171"/>
      <c r="W169" s="171">
        <v>12</v>
      </c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2">
        <f t="shared" si="2"/>
        <v>36</v>
      </c>
      <c r="AH169" s="173">
        <f>D169-AG169</f>
        <v>0</v>
      </c>
    </row>
    <row r="170" spans="1:34" ht="35.25" hidden="1" x14ac:dyDescent="0.5">
      <c r="A170" s="127">
        <v>184</v>
      </c>
      <c r="B170" s="96" t="s">
        <v>372</v>
      </c>
      <c r="C170" s="37" t="s">
        <v>373</v>
      </c>
      <c r="D170" s="38">
        <v>346</v>
      </c>
      <c r="E170" s="171"/>
      <c r="F170" s="171"/>
      <c r="G170" s="171"/>
      <c r="H170" s="171"/>
      <c r="I170" s="171"/>
      <c r="J170" s="171"/>
      <c r="K170" s="171"/>
      <c r="L170" s="171"/>
      <c r="M170" s="171">
        <v>15</v>
      </c>
      <c r="N170" s="171">
        <v>123</v>
      </c>
      <c r="O170" s="171"/>
      <c r="P170" s="171"/>
      <c r="Q170" s="171">
        <v>62</v>
      </c>
      <c r="R170" s="171"/>
      <c r="S170" s="171"/>
      <c r="T170" s="171"/>
      <c r="U170" s="171"/>
      <c r="V170" s="171"/>
      <c r="W170" s="171">
        <v>24</v>
      </c>
      <c r="X170" s="171">
        <f>20</f>
        <v>20</v>
      </c>
      <c r="Y170" s="171">
        <v>6</v>
      </c>
      <c r="Z170" s="171"/>
      <c r="AA170" s="171"/>
      <c r="AB170" s="171"/>
      <c r="AC170" s="171"/>
      <c r="AD170" s="171"/>
      <c r="AE170" s="171"/>
      <c r="AF170" s="171"/>
      <c r="AG170" s="172">
        <f t="shared" si="2"/>
        <v>250</v>
      </c>
      <c r="AH170" s="173">
        <f>D170-AG170</f>
        <v>96</v>
      </c>
    </row>
    <row r="171" spans="1:34" ht="35.25" hidden="1" x14ac:dyDescent="0.5">
      <c r="A171" s="127">
        <v>185</v>
      </c>
      <c r="B171" s="96" t="s">
        <v>374</v>
      </c>
      <c r="C171" s="37" t="s">
        <v>375</v>
      </c>
      <c r="D171" s="38">
        <v>12</v>
      </c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2">
        <f t="shared" si="2"/>
        <v>0</v>
      </c>
      <c r="AH171" s="173">
        <f>D171-AG171</f>
        <v>12</v>
      </c>
    </row>
    <row r="172" spans="1:34" ht="35.25" hidden="1" x14ac:dyDescent="0.5">
      <c r="A172" s="127">
        <v>186</v>
      </c>
      <c r="B172" s="96" t="s">
        <v>376</v>
      </c>
      <c r="C172" s="37" t="s">
        <v>377</v>
      </c>
      <c r="D172" s="38">
        <v>12</v>
      </c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>
        <f>6+1</f>
        <v>7</v>
      </c>
      <c r="Y172" s="171"/>
      <c r="Z172" s="171"/>
      <c r="AA172" s="171"/>
      <c r="AB172" s="171"/>
      <c r="AC172" s="171"/>
      <c r="AD172" s="171"/>
      <c r="AE172" s="171"/>
      <c r="AF172" s="171"/>
      <c r="AG172" s="172">
        <f t="shared" si="2"/>
        <v>7</v>
      </c>
      <c r="AH172" s="173">
        <f>D172-AG172</f>
        <v>5</v>
      </c>
    </row>
    <row r="173" spans="1:34" ht="35.25" hidden="1" x14ac:dyDescent="0.5">
      <c r="A173" s="127">
        <v>187</v>
      </c>
      <c r="B173" s="96" t="s">
        <v>378</v>
      </c>
      <c r="C173" s="37" t="s">
        <v>379</v>
      </c>
      <c r="D173" s="38">
        <v>1</v>
      </c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>
        <v>1</v>
      </c>
      <c r="AC173" s="171"/>
      <c r="AD173" s="171"/>
      <c r="AE173" s="171"/>
      <c r="AF173" s="171"/>
      <c r="AG173" s="172">
        <f t="shared" si="2"/>
        <v>1</v>
      </c>
      <c r="AH173" s="173">
        <f>D173-AG173</f>
        <v>0</v>
      </c>
    </row>
    <row r="174" spans="1:34" ht="35.25" hidden="1" x14ac:dyDescent="0.5">
      <c r="A174" s="127">
        <v>188</v>
      </c>
      <c r="B174" s="97" t="s">
        <v>380</v>
      </c>
      <c r="C174" s="39" t="s">
        <v>381</v>
      </c>
      <c r="D174" s="40">
        <v>11</v>
      </c>
      <c r="E174" s="171"/>
      <c r="F174" s="171"/>
      <c r="G174" s="171"/>
      <c r="H174" s="171"/>
      <c r="I174" s="171"/>
      <c r="J174" s="171">
        <v>2</v>
      </c>
      <c r="K174" s="171"/>
      <c r="L174" s="171"/>
      <c r="M174" s="171">
        <v>1</v>
      </c>
      <c r="N174" s="171">
        <v>2</v>
      </c>
      <c r="O174" s="171"/>
      <c r="P174" s="171"/>
      <c r="Q174" s="171"/>
      <c r="R174" s="171"/>
      <c r="S174" s="171"/>
      <c r="T174" s="171"/>
      <c r="U174" s="171"/>
      <c r="V174" s="171"/>
      <c r="W174" s="171">
        <v>2</v>
      </c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2">
        <f t="shared" ref="AG174:AG237" si="3">SUM(F174:AF174)</f>
        <v>7</v>
      </c>
      <c r="AH174" s="173">
        <f>D174-AG174</f>
        <v>4</v>
      </c>
    </row>
    <row r="175" spans="1:34" ht="35.25" hidden="1" x14ac:dyDescent="0.5">
      <c r="A175" s="127">
        <v>189</v>
      </c>
      <c r="B175" s="96" t="s">
        <v>382</v>
      </c>
      <c r="C175" s="37" t="s">
        <v>383</v>
      </c>
      <c r="D175" s="38">
        <v>12</v>
      </c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2">
        <f t="shared" si="3"/>
        <v>0</v>
      </c>
      <c r="AH175" s="173">
        <f>D175-AG175</f>
        <v>12</v>
      </c>
    </row>
    <row r="176" spans="1:34" ht="35.25" hidden="1" x14ac:dyDescent="0.5">
      <c r="A176" s="127">
        <v>190</v>
      </c>
      <c r="B176" s="96" t="s">
        <v>384</v>
      </c>
      <c r="C176" s="37" t="s">
        <v>385</v>
      </c>
      <c r="D176" s="38">
        <v>12</v>
      </c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2">
        <f t="shared" si="3"/>
        <v>0</v>
      </c>
      <c r="AH176" s="173">
        <f>D176-AG176</f>
        <v>12</v>
      </c>
    </row>
    <row r="177" spans="1:34" ht="35.25" hidden="1" x14ac:dyDescent="0.5">
      <c r="A177" s="127">
        <v>191</v>
      </c>
      <c r="B177" s="96" t="s">
        <v>386</v>
      </c>
      <c r="C177" s="37" t="s">
        <v>383</v>
      </c>
      <c r="D177" s="38">
        <v>12</v>
      </c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2">
        <f t="shared" si="3"/>
        <v>0</v>
      </c>
      <c r="AH177" s="173">
        <f>D177-AG177</f>
        <v>12</v>
      </c>
    </row>
    <row r="178" spans="1:34" ht="35.25" hidden="1" x14ac:dyDescent="0.5">
      <c r="A178" s="127">
        <v>192</v>
      </c>
      <c r="B178" s="96" t="s">
        <v>387</v>
      </c>
      <c r="C178" s="37" t="s">
        <v>388</v>
      </c>
      <c r="D178" s="38">
        <v>3</v>
      </c>
      <c r="E178" s="171"/>
      <c r="F178" s="171"/>
      <c r="G178" s="171"/>
      <c r="H178" s="171"/>
      <c r="I178" s="171"/>
      <c r="J178" s="171"/>
      <c r="K178" s="171">
        <v>3</v>
      </c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5">
        <f t="shared" si="3"/>
        <v>3</v>
      </c>
      <c r="AH178" s="176">
        <f>D178-AG178</f>
        <v>0</v>
      </c>
    </row>
    <row r="179" spans="1:34" ht="35.25" hidden="1" x14ac:dyDescent="0.5">
      <c r="A179" s="127">
        <v>193</v>
      </c>
      <c r="B179" s="97" t="s">
        <v>389</v>
      </c>
      <c r="C179" s="39" t="s">
        <v>390</v>
      </c>
      <c r="D179" s="40">
        <v>29</v>
      </c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>
        <v>2</v>
      </c>
      <c r="S179" s="171"/>
      <c r="T179" s="171"/>
      <c r="U179" s="171"/>
      <c r="V179" s="171"/>
      <c r="W179" s="171">
        <v>21</v>
      </c>
      <c r="X179" s="171"/>
      <c r="Y179" s="171"/>
      <c r="Z179" s="171"/>
      <c r="AA179" s="171"/>
      <c r="AB179" s="171"/>
      <c r="AC179" s="171"/>
      <c r="AD179" s="171"/>
      <c r="AE179" s="171"/>
      <c r="AF179" s="171">
        <v>4</v>
      </c>
      <c r="AG179" s="172">
        <f t="shared" si="3"/>
        <v>27</v>
      </c>
      <c r="AH179" s="173">
        <f>D179-AG179</f>
        <v>2</v>
      </c>
    </row>
    <row r="180" spans="1:34" ht="35.25" hidden="1" x14ac:dyDescent="0.5">
      <c r="A180" s="127">
        <v>194</v>
      </c>
      <c r="B180" s="97" t="s">
        <v>391</v>
      </c>
      <c r="C180" s="39" t="s">
        <v>392</v>
      </c>
      <c r="D180" s="40">
        <v>12</v>
      </c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7">
        <f t="shared" si="3"/>
        <v>0</v>
      </c>
      <c r="AH180" s="178">
        <f>D180-AG180</f>
        <v>12</v>
      </c>
    </row>
    <row r="181" spans="1:34" ht="35.25" hidden="1" x14ac:dyDescent="0.5">
      <c r="A181" s="127">
        <v>195</v>
      </c>
      <c r="B181" s="97" t="s">
        <v>393</v>
      </c>
      <c r="C181" s="39" t="s">
        <v>394</v>
      </c>
      <c r="D181" s="40">
        <v>12</v>
      </c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2">
        <f t="shared" si="3"/>
        <v>0</v>
      </c>
      <c r="AH181" s="173">
        <f>D181-AG181</f>
        <v>12</v>
      </c>
    </row>
    <row r="182" spans="1:34" ht="35.25" hidden="1" x14ac:dyDescent="0.5">
      <c r="A182" s="127">
        <v>196</v>
      </c>
      <c r="B182" s="97" t="s">
        <v>395</v>
      </c>
      <c r="C182" s="39" t="s">
        <v>392</v>
      </c>
      <c r="D182" s="40">
        <v>24</v>
      </c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>
        <v>6</v>
      </c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2">
        <f t="shared" si="3"/>
        <v>6</v>
      </c>
      <c r="AH182" s="173">
        <f>D182-AG182</f>
        <v>18</v>
      </c>
    </row>
    <row r="183" spans="1:34" ht="35.25" hidden="1" x14ac:dyDescent="0.5">
      <c r="A183" s="127">
        <v>197</v>
      </c>
      <c r="B183" s="97" t="s">
        <v>396</v>
      </c>
      <c r="C183" s="39" t="s">
        <v>394</v>
      </c>
      <c r="D183" s="40">
        <v>24</v>
      </c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>
        <v>6</v>
      </c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2">
        <f t="shared" si="3"/>
        <v>6</v>
      </c>
      <c r="AH183" s="173">
        <f>D183-AG183</f>
        <v>18</v>
      </c>
    </row>
    <row r="184" spans="1:34" ht="35.25" hidden="1" x14ac:dyDescent="0.5">
      <c r="A184" s="127">
        <v>198</v>
      </c>
      <c r="B184" s="97" t="s">
        <v>397</v>
      </c>
      <c r="C184" s="39" t="s">
        <v>388</v>
      </c>
      <c r="D184" s="40">
        <v>3</v>
      </c>
      <c r="E184" s="171"/>
      <c r="F184" s="171"/>
      <c r="G184" s="171"/>
      <c r="H184" s="171"/>
      <c r="I184" s="171"/>
      <c r="J184" s="171"/>
      <c r="K184" s="171">
        <v>1</v>
      </c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2">
        <f t="shared" si="3"/>
        <v>1</v>
      </c>
      <c r="AH184" s="173">
        <f>D184-AG184</f>
        <v>2</v>
      </c>
    </row>
    <row r="185" spans="1:34" ht="35.25" hidden="1" x14ac:dyDescent="0.5">
      <c r="A185" s="127">
        <v>199</v>
      </c>
      <c r="B185" s="97" t="s">
        <v>398</v>
      </c>
      <c r="C185" s="39" t="s">
        <v>399</v>
      </c>
      <c r="D185" s="40">
        <v>100</v>
      </c>
      <c r="E185" s="171">
        <v>3</v>
      </c>
      <c r="F185" s="171">
        <v>3</v>
      </c>
      <c r="G185" s="171"/>
      <c r="H185" s="171"/>
      <c r="I185" s="171">
        <v>1</v>
      </c>
      <c r="J185" s="171">
        <v>2</v>
      </c>
      <c r="K185" s="171"/>
      <c r="L185" s="171">
        <v>18</v>
      </c>
      <c r="M185" s="171">
        <v>2</v>
      </c>
      <c r="N185" s="171">
        <f>13+2</f>
        <v>15</v>
      </c>
      <c r="O185" s="171"/>
      <c r="P185" s="171"/>
      <c r="Q185" s="171"/>
      <c r="R185" s="171">
        <v>2</v>
      </c>
      <c r="S185" s="171"/>
      <c r="T185" s="171"/>
      <c r="U185" s="171"/>
      <c r="V185" s="171">
        <v>5</v>
      </c>
      <c r="W185" s="171">
        <v>7</v>
      </c>
      <c r="X185" s="171">
        <v>4</v>
      </c>
      <c r="Y185" s="171">
        <v>1</v>
      </c>
      <c r="Z185" s="171"/>
      <c r="AA185" s="171"/>
      <c r="AB185" s="171"/>
      <c r="AC185" s="171"/>
      <c r="AD185" s="171">
        <v>1</v>
      </c>
      <c r="AE185" s="171">
        <v>1</v>
      </c>
      <c r="AF185" s="171">
        <v>1</v>
      </c>
      <c r="AG185" s="172">
        <f t="shared" si="3"/>
        <v>63</v>
      </c>
      <c r="AH185" s="173">
        <f>D185-AG185</f>
        <v>37</v>
      </c>
    </row>
    <row r="186" spans="1:34" ht="35.25" hidden="1" x14ac:dyDescent="0.5">
      <c r="A186" s="127">
        <v>200</v>
      </c>
      <c r="B186" s="97" t="s">
        <v>400</v>
      </c>
      <c r="C186" s="39" t="s">
        <v>401</v>
      </c>
      <c r="D186" s="40">
        <v>25</v>
      </c>
      <c r="E186" s="171"/>
      <c r="F186" s="171"/>
      <c r="G186" s="171"/>
      <c r="H186" s="171"/>
      <c r="I186" s="171">
        <v>1</v>
      </c>
      <c r="J186" s="171">
        <v>4</v>
      </c>
      <c r="K186" s="171"/>
      <c r="L186" s="171"/>
      <c r="M186" s="171"/>
      <c r="N186" s="171">
        <f>1+3+2+4</f>
        <v>10</v>
      </c>
      <c r="O186" s="171"/>
      <c r="P186" s="171"/>
      <c r="Q186" s="171"/>
      <c r="R186" s="171">
        <v>1</v>
      </c>
      <c r="S186" s="171">
        <v>1</v>
      </c>
      <c r="T186" s="171"/>
      <c r="U186" s="171"/>
      <c r="V186" s="171"/>
      <c r="W186" s="171">
        <f>9+1</f>
        <v>10</v>
      </c>
      <c r="X186" s="171">
        <v>2</v>
      </c>
      <c r="Y186" s="171"/>
      <c r="Z186" s="171"/>
      <c r="AA186" s="171"/>
      <c r="AB186" s="171"/>
      <c r="AC186" s="171">
        <v>3</v>
      </c>
      <c r="AD186" s="171"/>
      <c r="AE186" s="171"/>
      <c r="AF186" s="171">
        <v>2</v>
      </c>
      <c r="AG186" s="172">
        <f t="shared" si="3"/>
        <v>34</v>
      </c>
      <c r="AH186" s="173">
        <f>D186-AG186</f>
        <v>-9</v>
      </c>
    </row>
    <row r="187" spans="1:34" ht="35.25" hidden="1" x14ac:dyDescent="0.5">
      <c r="A187" s="127">
        <v>201</v>
      </c>
      <c r="B187" s="96" t="s">
        <v>402</v>
      </c>
      <c r="C187" s="37" t="s">
        <v>403</v>
      </c>
      <c r="D187" s="38">
        <v>424</v>
      </c>
      <c r="E187" s="171"/>
      <c r="F187" s="171">
        <v>10</v>
      </c>
      <c r="G187" s="171"/>
      <c r="H187" s="171"/>
      <c r="I187" s="171"/>
      <c r="J187" s="171"/>
      <c r="K187" s="171">
        <v>84</v>
      </c>
      <c r="L187" s="171">
        <v>34</v>
      </c>
      <c r="M187" s="171"/>
      <c r="N187" s="171"/>
      <c r="O187" s="171">
        <v>10</v>
      </c>
      <c r="P187" s="171">
        <v>15</v>
      </c>
      <c r="Q187" s="171">
        <v>20</v>
      </c>
      <c r="R187" s="171"/>
      <c r="S187" s="171"/>
      <c r="T187" s="171"/>
      <c r="U187" s="171">
        <v>57</v>
      </c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2">
        <f t="shared" si="3"/>
        <v>230</v>
      </c>
      <c r="AH187" s="173">
        <f>D187-AG187</f>
        <v>194</v>
      </c>
    </row>
    <row r="188" spans="1:34" ht="35.25" hidden="1" x14ac:dyDescent="0.5">
      <c r="A188" s="127">
        <v>202</v>
      </c>
      <c r="B188" s="97" t="s">
        <v>404</v>
      </c>
      <c r="C188" s="39" t="s">
        <v>405</v>
      </c>
      <c r="D188" s="40">
        <v>52</v>
      </c>
      <c r="E188" s="171"/>
      <c r="F188" s="171">
        <v>5</v>
      </c>
      <c r="G188" s="171"/>
      <c r="H188" s="171"/>
      <c r="I188" s="171"/>
      <c r="J188" s="171">
        <v>1</v>
      </c>
      <c r="K188" s="171"/>
      <c r="L188" s="171">
        <v>5</v>
      </c>
      <c r="M188" s="171"/>
      <c r="N188" s="171">
        <v>9</v>
      </c>
      <c r="O188" s="171"/>
      <c r="P188" s="171"/>
      <c r="Q188" s="171">
        <v>13</v>
      </c>
      <c r="R188" s="171"/>
      <c r="S188" s="171"/>
      <c r="T188" s="171"/>
      <c r="U188" s="171"/>
      <c r="V188" s="171"/>
      <c r="W188" s="171">
        <v>3</v>
      </c>
      <c r="X188" s="171">
        <v>3</v>
      </c>
      <c r="Y188" s="171"/>
      <c r="Z188" s="171"/>
      <c r="AA188" s="171"/>
      <c r="AB188" s="171"/>
      <c r="AC188" s="171"/>
      <c r="AD188" s="171"/>
      <c r="AE188" s="171"/>
      <c r="AF188" s="171">
        <v>1</v>
      </c>
      <c r="AG188" s="172">
        <f t="shared" si="3"/>
        <v>40</v>
      </c>
      <c r="AH188" s="173">
        <f>D188-AG188</f>
        <v>12</v>
      </c>
    </row>
    <row r="189" spans="1:34" ht="35.25" hidden="1" x14ac:dyDescent="0.5">
      <c r="A189" s="127">
        <v>203</v>
      </c>
      <c r="B189" s="97" t="s">
        <v>406</v>
      </c>
      <c r="C189" s="39" t="s">
        <v>407</v>
      </c>
      <c r="D189" s="40">
        <v>50</v>
      </c>
      <c r="E189" s="171"/>
      <c r="F189" s="171">
        <v>1</v>
      </c>
      <c r="G189" s="171"/>
      <c r="H189" s="171"/>
      <c r="I189" s="171"/>
      <c r="J189" s="171"/>
      <c r="K189" s="171"/>
      <c r="L189" s="171"/>
      <c r="M189" s="171"/>
      <c r="N189" s="171">
        <v>1</v>
      </c>
      <c r="O189" s="171"/>
      <c r="P189" s="171">
        <v>2</v>
      </c>
      <c r="Q189" s="171">
        <v>11</v>
      </c>
      <c r="R189" s="171"/>
      <c r="S189" s="171"/>
      <c r="T189" s="171"/>
      <c r="U189" s="171"/>
      <c r="V189" s="171"/>
      <c r="W189" s="171">
        <v>1</v>
      </c>
      <c r="X189" s="171">
        <v>1</v>
      </c>
      <c r="Y189" s="171"/>
      <c r="Z189" s="171"/>
      <c r="AA189" s="171"/>
      <c r="AB189" s="171"/>
      <c r="AC189" s="171"/>
      <c r="AD189" s="171"/>
      <c r="AE189" s="171"/>
      <c r="AF189" s="171"/>
      <c r="AG189" s="172">
        <f t="shared" si="3"/>
        <v>17</v>
      </c>
      <c r="AH189" s="173">
        <f>D189-AG189</f>
        <v>33</v>
      </c>
    </row>
    <row r="190" spans="1:34" ht="35.25" hidden="1" x14ac:dyDescent="0.5">
      <c r="A190" s="127">
        <v>204</v>
      </c>
      <c r="B190" s="97" t="s">
        <v>408</v>
      </c>
      <c r="C190" s="39" t="s">
        <v>409</v>
      </c>
      <c r="D190" s="40">
        <v>100</v>
      </c>
      <c r="E190" s="171">
        <v>11</v>
      </c>
      <c r="F190" s="171"/>
      <c r="G190" s="171"/>
      <c r="H190" s="171"/>
      <c r="I190" s="171"/>
      <c r="J190" s="171">
        <v>1</v>
      </c>
      <c r="K190" s="171"/>
      <c r="L190" s="171"/>
      <c r="M190" s="171"/>
      <c r="N190" s="171">
        <v>4</v>
      </c>
      <c r="O190" s="171"/>
      <c r="P190" s="171"/>
      <c r="Q190" s="171"/>
      <c r="R190" s="171"/>
      <c r="S190" s="171"/>
      <c r="T190" s="171"/>
      <c r="U190" s="171"/>
      <c r="V190" s="171">
        <v>2</v>
      </c>
      <c r="W190" s="171">
        <v>9</v>
      </c>
      <c r="X190" s="171">
        <v>6</v>
      </c>
      <c r="Y190" s="171"/>
      <c r="Z190" s="171"/>
      <c r="AA190" s="171"/>
      <c r="AB190" s="171"/>
      <c r="AC190" s="171"/>
      <c r="AD190" s="171"/>
      <c r="AE190" s="171"/>
      <c r="AF190" s="171"/>
      <c r="AG190" s="172">
        <f t="shared" si="3"/>
        <v>22</v>
      </c>
      <c r="AH190" s="173">
        <f>D190-AG190</f>
        <v>78</v>
      </c>
    </row>
    <row r="191" spans="1:34" ht="35.25" hidden="1" x14ac:dyDescent="0.5">
      <c r="A191" s="127">
        <v>205</v>
      </c>
      <c r="B191" s="97" t="s">
        <v>410</v>
      </c>
      <c r="C191" s="39" t="s">
        <v>411</v>
      </c>
      <c r="D191" s="40">
        <v>52</v>
      </c>
      <c r="E191" s="171"/>
      <c r="F191" s="171"/>
      <c r="G191" s="171"/>
      <c r="H191" s="171"/>
      <c r="I191" s="171"/>
      <c r="J191" s="171"/>
      <c r="K191" s="171"/>
      <c r="L191" s="171"/>
      <c r="M191" s="171"/>
      <c r="N191" s="171">
        <v>1</v>
      </c>
      <c r="O191" s="171"/>
      <c r="P191" s="171"/>
      <c r="Q191" s="171">
        <v>3</v>
      </c>
      <c r="R191" s="171">
        <v>15</v>
      </c>
      <c r="S191" s="171"/>
      <c r="T191" s="171"/>
      <c r="U191" s="171">
        <v>2</v>
      </c>
      <c r="V191" s="171">
        <v>1</v>
      </c>
      <c r="W191" s="171">
        <v>5</v>
      </c>
      <c r="X191" s="171">
        <v>3</v>
      </c>
      <c r="Y191" s="171"/>
      <c r="Z191" s="171"/>
      <c r="AA191" s="171"/>
      <c r="AB191" s="171"/>
      <c r="AC191" s="171">
        <v>3</v>
      </c>
      <c r="AD191" s="171"/>
      <c r="AE191" s="171"/>
      <c r="AF191" s="171"/>
      <c r="AG191" s="172">
        <f t="shared" si="3"/>
        <v>33</v>
      </c>
      <c r="AH191" s="173">
        <f>D191-AG191</f>
        <v>19</v>
      </c>
    </row>
    <row r="192" spans="1:34" ht="35.25" hidden="1" x14ac:dyDescent="0.5">
      <c r="A192" s="127">
        <v>206</v>
      </c>
      <c r="B192" s="97" t="s">
        <v>412</v>
      </c>
      <c r="C192" s="39" t="s">
        <v>413</v>
      </c>
      <c r="D192" s="40">
        <v>255</v>
      </c>
      <c r="E192" s="171"/>
      <c r="F192" s="171"/>
      <c r="G192" s="171"/>
      <c r="H192" s="171"/>
      <c r="I192" s="171"/>
      <c r="J192" s="171"/>
      <c r="K192" s="171"/>
      <c r="L192" s="171"/>
      <c r="M192" s="171"/>
      <c r="N192" s="171">
        <v>86</v>
      </c>
      <c r="O192" s="171"/>
      <c r="P192" s="171"/>
      <c r="Q192" s="171">
        <v>20</v>
      </c>
      <c r="R192" s="171"/>
      <c r="S192" s="171"/>
      <c r="T192" s="171"/>
      <c r="U192" s="171"/>
      <c r="V192" s="171"/>
      <c r="W192" s="171">
        <v>18</v>
      </c>
      <c r="X192" s="171">
        <v>50</v>
      </c>
      <c r="Y192" s="171"/>
      <c r="Z192" s="171"/>
      <c r="AA192" s="171"/>
      <c r="AB192" s="171"/>
      <c r="AC192" s="171"/>
      <c r="AD192" s="171"/>
      <c r="AE192" s="171"/>
      <c r="AF192" s="171"/>
      <c r="AG192" s="172">
        <f t="shared" si="3"/>
        <v>174</v>
      </c>
      <c r="AH192" s="173">
        <f>D192-AG192</f>
        <v>81</v>
      </c>
    </row>
    <row r="193" spans="1:35" ht="35.25" hidden="1" x14ac:dyDescent="0.5">
      <c r="A193" s="127">
        <v>207</v>
      </c>
      <c r="B193" s="97" t="s">
        <v>414</v>
      </c>
      <c r="C193" s="39" t="s">
        <v>415</v>
      </c>
      <c r="D193" s="40">
        <v>365</v>
      </c>
      <c r="E193" s="171"/>
      <c r="F193" s="171">
        <v>13</v>
      </c>
      <c r="G193" s="171"/>
      <c r="H193" s="171"/>
      <c r="I193" s="171"/>
      <c r="J193" s="171"/>
      <c r="K193" s="171"/>
      <c r="L193" s="171"/>
      <c r="M193" s="171">
        <v>10</v>
      </c>
      <c r="N193" s="171">
        <v>82</v>
      </c>
      <c r="O193" s="171"/>
      <c r="P193" s="171"/>
      <c r="Q193" s="171">
        <v>50</v>
      </c>
      <c r="R193" s="171"/>
      <c r="S193" s="171"/>
      <c r="T193" s="171"/>
      <c r="U193" s="171"/>
      <c r="V193" s="171"/>
      <c r="W193" s="171">
        <v>40</v>
      </c>
      <c r="X193" s="171">
        <f>49+12+1</f>
        <v>62</v>
      </c>
      <c r="Y193" s="171"/>
      <c r="Z193" s="171"/>
      <c r="AA193" s="171"/>
      <c r="AB193" s="171"/>
      <c r="AC193" s="171"/>
      <c r="AD193" s="171">
        <f>8+5</f>
        <v>13</v>
      </c>
      <c r="AE193" s="171"/>
      <c r="AF193" s="171"/>
      <c r="AG193" s="172">
        <f t="shared" si="3"/>
        <v>270</v>
      </c>
      <c r="AH193" s="173">
        <f>D193-AG193</f>
        <v>95</v>
      </c>
    </row>
    <row r="194" spans="1:35" ht="35.25" hidden="1" x14ac:dyDescent="0.5">
      <c r="A194" s="127">
        <v>208</v>
      </c>
      <c r="B194" s="97" t="s">
        <v>416</v>
      </c>
      <c r="C194" s="39" t="s">
        <v>417</v>
      </c>
      <c r="D194" s="40">
        <v>490</v>
      </c>
      <c r="E194" s="171"/>
      <c r="F194" s="171">
        <v>16</v>
      </c>
      <c r="G194" s="171"/>
      <c r="H194" s="171"/>
      <c r="I194" s="171"/>
      <c r="J194" s="171"/>
      <c r="K194" s="171"/>
      <c r="L194" s="171"/>
      <c r="M194" s="171">
        <v>20</v>
      </c>
      <c r="N194" s="171">
        <v>113</v>
      </c>
      <c r="O194" s="171"/>
      <c r="P194" s="171"/>
      <c r="Q194" s="171">
        <v>50</v>
      </c>
      <c r="R194" s="171"/>
      <c r="S194" s="171"/>
      <c r="T194" s="171"/>
      <c r="U194" s="171"/>
      <c r="V194" s="171"/>
      <c r="W194" s="171">
        <v>50</v>
      </c>
      <c r="X194" s="171">
        <v>8</v>
      </c>
      <c r="Y194" s="171"/>
      <c r="Z194" s="171"/>
      <c r="AA194" s="171"/>
      <c r="AB194" s="171"/>
      <c r="AC194" s="171"/>
      <c r="AD194" s="171"/>
      <c r="AE194" s="171"/>
      <c r="AF194" s="171"/>
      <c r="AG194" s="172">
        <f t="shared" si="3"/>
        <v>257</v>
      </c>
      <c r="AH194" s="173">
        <f>D194-AG194</f>
        <v>233</v>
      </c>
    </row>
    <row r="195" spans="1:35" ht="35.25" hidden="1" x14ac:dyDescent="0.5">
      <c r="A195" s="127">
        <v>209</v>
      </c>
      <c r="B195" s="97" t="s">
        <v>418</v>
      </c>
      <c r="C195" s="39" t="s">
        <v>419</v>
      </c>
      <c r="D195" s="40">
        <v>72</v>
      </c>
      <c r="E195" s="171">
        <v>2</v>
      </c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>
        <v>12</v>
      </c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2">
        <f t="shared" si="3"/>
        <v>12</v>
      </c>
      <c r="AH195" s="173">
        <f>D195-AG195</f>
        <v>60</v>
      </c>
    </row>
    <row r="196" spans="1:35" ht="35.25" hidden="1" x14ac:dyDescent="0.5">
      <c r="A196" s="127">
        <v>210</v>
      </c>
      <c r="B196" s="97" t="s">
        <v>420</v>
      </c>
      <c r="C196" s="39" t="s">
        <v>421</v>
      </c>
      <c r="D196" s="40">
        <v>72</v>
      </c>
      <c r="E196" s="171">
        <v>4</v>
      </c>
      <c r="F196" s="171"/>
      <c r="G196" s="171"/>
      <c r="H196" s="171"/>
      <c r="I196" s="171"/>
      <c r="J196" s="171">
        <v>6</v>
      </c>
      <c r="K196" s="171"/>
      <c r="L196" s="171"/>
      <c r="M196" s="171"/>
      <c r="N196" s="171">
        <v>18</v>
      </c>
      <c r="O196" s="171"/>
      <c r="P196" s="171"/>
      <c r="Q196" s="171">
        <v>7</v>
      </c>
      <c r="R196" s="171">
        <v>6</v>
      </c>
      <c r="S196" s="171"/>
      <c r="T196" s="171"/>
      <c r="U196" s="171"/>
      <c r="V196" s="171"/>
      <c r="W196" s="171">
        <v>22</v>
      </c>
      <c r="X196" s="171"/>
      <c r="Y196" s="171"/>
      <c r="Z196" s="171"/>
      <c r="AA196" s="171"/>
      <c r="AB196" s="171"/>
      <c r="AC196" s="171"/>
      <c r="AD196" s="171"/>
      <c r="AE196" s="171"/>
      <c r="AF196" s="171">
        <v>1</v>
      </c>
      <c r="AG196" s="172">
        <f t="shared" si="3"/>
        <v>60</v>
      </c>
      <c r="AH196" s="173">
        <f>D196-AG196</f>
        <v>12</v>
      </c>
    </row>
    <row r="197" spans="1:35" ht="35.25" hidden="1" x14ac:dyDescent="0.5">
      <c r="A197" s="127">
        <v>211</v>
      </c>
      <c r="B197" s="97" t="s">
        <v>422</v>
      </c>
      <c r="C197" s="39" t="s">
        <v>423</v>
      </c>
      <c r="D197" s="40">
        <v>72</v>
      </c>
      <c r="E197" s="171"/>
      <c r="F197" s="171"/>
      <c r="G197" s="171"/>
      <c r="H197" s="171"/>
      <c r="I197" s="171"/>
      <c r="J197" s="171"/>
      <c r="K197" s="171"/>
      <c r="L197" s="171"/>
      <c r="M197" s="171"/>
      <c r="N197" s="171">
        <v>19</v>
      </c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2">
        <f t="shared" si="3"/>
        <v>19</v>
      </c>
      <c r="AH197" s="173">
        <f>D197-AG197</f>
        <v>53</v>
      </c>
    </row>
    <row r="198" spans="1:35" ht="35.25" hidden="1" x14ac:dyDescent="0.5">
      <c r="A198" s="127">
        <v>212</v>
      </c>
      <c r="B198" s="97" t="s">
        <v>424</v>
      </c>
      <c r="C198" s="39" t="s">
        <v>425</v>
      </c>
      <c r="D198" s="40">
        <v>118</v>
      </c>
      <c r="E198" s="171"/>
      <c r="F198" s="171"/>
      <c r="G198" s="171"/>
      <c r="H198" s="171"/>
      <c r="I198" s="171"/>
      <c r="J198" s="171"/>
      <c r="K198" s="171"/>
      <c r="L198" s="171"/>
      <c r="M198" s="171"/>
      <c r="N198" s="171">
        <v>30</v>
      </c>
      <c r="O198" s="171"/>
      <c r="P198" s="171"/>
      <c r="Q198" s="171">
        <v>31</v>
      </c>
      <c r="R198" s="171"/>
      <c r="S198" s="171"/>
      <c r="T198" s="171"/>
      <c r="U198" s="171"/>
      <c r="V198" s="171"/>
      <c r="W198" s="171">
        <v>24</v>
      </c>
      <c r="X198" s="171">
        <f>1</f>
        <v>1</v>
      </c>
      <c r="Y198" s="171"/>
      <c r="Z198" s="171"/>
      <c r="AA198" s="171"/>
      <c r="AB198" s="171"/>
      <c r="AC198" s="171"/>
      <c r="AD198" s="171"/>
      <c r="AE198" s="171"/>
      <c r="AF198" s="171"/>
      <c r="AG198" s="172">
        <f t="shared" si="3"/>
        <v>86</v>
      </c>
      <c r="AH198" s="173">
        <f>D198-AG198</f>
        <v>32</v>
      </c>
    </row>
    <row r="199" spans="1:35" ht="35.25" hidden="1" x14ac:dyDescent="0.5">
      <c r="A199" s="127">
        <v>213</v>
      </c>
      <c r="B199" s="97" t="s">
        <v>426</v>
      </c>
      <c r="C199" s="39" t="s">
        <v>427</v>
      </c>
      <c r="D199" s="40">
        <v>612</v>
      </c>
      <c r="E199" s="171"/>
      <c r="F199" s="171">
        <v>45</v>
      </c>
      <c r="G199" s="171">
        <v>12</v>
      </c>
      <c r="H199" s="171">
        <v>6</v>
      </c>
      <c r="I199" s="171"/>
      <c r="J199" s="171">
        <f>12+18</f>
        <v>30</v>
      </c>
      <c r="K199" s="171"/>
      <c r="L199" s="171"/>
      <c r="M199" s="171">
        <v>24</v>
      </c>
      <c r="N199" s="171">
        <v>80</v>
      </c>
      <c r="O199" s="171"/>
      <c r="P199" s="171"/>
      <c r="Q199" s="171">
        <v>50</v>
      </c>
      <c r="R199" s="171"/>
      <c r="S199" s="171"/>
      <c r="T199" s="171"/>
      <c r="U199" s="171"/>
      <c r="V199" s="171"/>
      <c r="W199" s="171">
        <v>62</v>
      </c>
      <c r="X199" s="171">
        <f>29+6+15+1</f>
        <v>51</v>
      </c>
      <c r="Y199" s="171"/>
      <c r="Z199" s="171"/>
      <c r="AA199" s="171"/>
      <c r="AB199" s="171"/>
      <c r="AC199" s="171"/>
      <c r="AD199" s="171">
        <v>50</v>
      </c>
      <c r="AE199" s="171"/>
      <c r="AF199" s="171">
        <v>14</v>
      </c>
      <c r="AG199" s="172">
        <f t="shared" si="3"/>
        <v>424</v>
      </c>
      <c r="AH199" s="173">
        <f>D199-AG199</f>
        <v>188</v>
      </c>
    </row>
    <row r="200" spans="1:35" ht="35.25" hidden="1" x14ac:dyDescent="0.5">
      <c r="A200" s="127">
        <v>214</v>
      </c>
      <c r="B200" s="97" t="s">
        <v>428</v>
      </c>
      <c r="C200" s="39" t="s">
        <v>429</v>
      </c>
      <c r="D200" s="40">
        <v>204</v>
      </c>
      <c r="E200" s="171"/>
      <c r="F200" s="171"/>
      <c r="G200" s="171"/>
      <c r="H200" s="171"/>
      <c r="I200" s="171"/>
      <c r="J200" s="171"/>
      <c r="K200" s="171"/>
      <c r="L200" s="171"/>
      <c r="M200" s="171"/>
      <c r="N200" s="171">
        <v>76</v>
      </c>
      <c r="O200" s="171"/>
      <c r="P200" s="171"/>
      <c r="Q200" s="171">
        <v>56</v>
      </c>
      <c r="R200" s="171"/>
      <c r="S200" s="171"/>
      <c r="T200" s="171"/>
      <c r="U200" s="171"/>
      <c r="V200" s="171"/>
      <c r="W200" s="171">
        <v>48</v>
      </c>
      <c r="X200" s="171">
        <f>20</f>
        <v>20</v>
      </c>
      <c r="Y200" s="171"/>
      <c r="Z200" s="171"/>
      <c r="AA200" s="171"/>
      <c r="AB200" s="171"/>
      <c r="AC200" s="171"/>
      <c r="AD200" s="171"/>
      <c r="AE200" s="171"/>
      <c r="AF200" s="171"/>
      <c r="AG200" s="172">
        <f t="shared" si="3"/>
        <v>200</v>
      </c>
      <c r="AH200" s="173">
        <f>D200-AG200</f>
        <v>4</v>
      </c>
    </row>
    <row r="201" spans="1:35" ht="35.25" hidden="1" x14ac:dyDescent="0.5">
      <c r="A201" s="127">
        <v>215</v>
      </c>
      <c r="B201" s="97" t="s">
        <v>430</v>
      </c>
      <c r="C201" s="39" t="s">
        <v>431</v>
      </c>
      <c r="D201" s="40">
        <v>50</v>
      </c>
      <c r="E201" s="171"/>
      <c r="F201" s="171">
        <v>1</v>
      </c>
      <c r="G201" s="171"/>
      <c r="H201" s="171"/>
      <c r="I201" s="171">
        <v>1</v>
      </c>
      <c r="J201" s="171"/>
      <c r="K201" s="171"/>
      <c r="L201" s="171"/>
      <c r="M201" s="171"/>
      <c r="N201" s="171">
        <v>3</v>
      </c>
      <c r="O201" s="171"/>
      <c r="P201" s="171"/>
      <c r="Q201" s="171"/>
      <c r="R201" s="171"/>
      <c r="S201" s="171"/>
      <c r="T201" s="171"/>
      <c r="U201" s="171">
        <v>2</v>
      </c>
      <c r="V201" s="171">
        <v>1</v>
      </c>
      <c r="W201" s="171">
        <v>1</v>
      </c>
      <c r="X201" s="171">
        <v>3</v>
      </c>
      <c r="Y201" s="171">
        <v>1</v>
      </c>
      <c r="Z201" s="171"/>
      <c r="AA201" s="171"/>
      <c r="AB201" s="171"/>
      <c r="AC201" s="171"/>
      <c r="AD201" s="171"/>
      <c r="AE201" s="171"/>
      <c r="AF201" s="171"/>
      <c r="AG201" s="172">
        <f t="shared" si="3"/>
        <v>13</v>
      </c>
      <c r="AH201" s="173">
        <f>D201-AG201</f>
        <v>37</v>
      </c>
    </row>
    <row r="202" spans="1:35" ht="35.25" hidden="1" x14ac:dyDescent="0.5">
      <c r="A202" s="127">
        <v>216</v>
      </c>
      <c r="B202" s="97" t="s">
        <v>432</v>
      </c>
      <c r="C202" s="39" t="s">
        <v>433</v>
      </c>
      <c r="D202" s="40">
        <v>16</v>
      </c>
      <c r="E202" s="171"/>
      <c r="F202" s="171">
        <v>1</v>
      </c>
      <c r="G202" s="171"/>
      <c r="H202" s="171"/>
      <c r="I202" s="171"/>
      <c r="J202" s="171"/>
      <c r="K202" s="171"/>
      <c r="L202" s="171"/>
      <c r="M202" s="171"/>
      <c r="N202" s="171">
        <v>3</v>
      </c>
      <c r="O202" s="171"/>
      <c r="P202" s="171"/>
      <c r="Q202" s="171"/>
      <c r="R202" s="171"/>
      <c r="S202" s="171"/>
      <c r="T202" s="171"/>
      <c r="U202" s="171">
        <v>2</v>
      </c>
      <c r="V202" s="171">
        <v>1</v>
      </c>
      <c r="W202" s="171">
        <v>2</v>
      </c>
      <c r="X202" s="171">
        <v>2</v>
      </c>
      <c r="Y202" s="171"/>
      <c r="Z202" s="171"/>
      <c r="AA202" s="171"/>
      <c r="AB202" s="171"/>
      <c r="AC202" s="171"/>
      <c r="AD202" s="171"/>
      <c r="AE202" s="171"/>
      <c r="AF202" s="171"/>
      <c r="AG202" s="172">
        <f t="shared" si="3"/>
        <v>11</v>
      </c>
      <c r="AH202" s="173">
        <f>D202-AG202</f>
        <v>5</v>
      </c>
      <c r="AI202">
        <v>7</v>
      </c>
    </row>
    <row r="203" spans="1:35" ht="35.25" hidden="1" x14ac:dyDescent="0.5">
      <c r="A203" s="127">
        <v>217</v>
      </c>
      <c r="B203" s="97" t="s">
        <v>434</v>
      </c>
      <c r="C203" s="39" t="s">
        <v>435</v>
      </c>
      <c r="D203" s="40">
        <v>91</v>
      </c>
      <c r="E203" s="171"/>
      <c r="F203" s="171">
        <v>1</v>
      </c>
      <c r="G203" s="171"/>
      <c r="H203" s="171"/>
      <c r="I203" s="171"/>
      <c r="J203" s="171"/>
      <c r="K203" s="171"/>
      <c r="L203" s="171"/>
      <c r="M203" s="171"/>
      <c r="N203" s="171">
        <v>2</v>
      </c>
      <c r="O203" s="171"/>
      <c r="P203" s="171">
        <v>2</v>
      </c>
      <c r="Q203" s="171">
        <v>2</v>
      </c>
      <c r="R203" s="171">
        <v>15</v>
      </c>
      <c r="S203" s="171"/>
      <c r="T203" s="171"/>
      <c r="U203" s="171">
        <v>2</v>
      </c>
      <c r="V203" s="171">
        <v>3</v>
      </c>
      <c r="W203" s="171">
        <v>1</v>
      </c>
      <c r="X203" s="171">
        <v>1</v>
      </c>
      <c r="Y203" s="171"/>
      <c r="Z203" s="171"/>
      <c r="AA203" s="171"/>
      <c r="AB203" s="171"/>
      <c r="AC203" s="171"/>
      <c r="AD203" s="171"/>
      <c r="AE203" s="171"/>
      <c r="AF203" s="171"/>
      <c r="AG203" s="172">
        <f t="shared" si="3"/>
        <v>29</v>
      </c>
      <c r="AH203" s="173">
        <f>D203-AG203</f>
        <v>62</v>
      </c>
    </row>
    <row r="204" spans="1:35" ht="35.25" hidden="1" x14ac:dyDescent="0.5">
      <c r="A204" s="127">
        <v>218</v>
      </c>
      <c r="B204" s="41" t="s">
        <v>436</v>
      </c>
      <c r="C204" s="42" t="s">
        <v>437</v>
      </c>
      <c r="D204" s="34">
        <v>12</v>
      </c>
      <c r="E204" s="171"/>
      <c r="F204" s="171">
        <v>1</v>
      </c>
      <c r="G204" s="171"/>
      <c r="H204" s="171"/>
      <c r="I204" s="171"/>
      <c r="J204" s="171"/>
      <c r="K204" s="171"/>
      <c r="L204" s="171"/>
      <c r="M204" s="171">
        <v>1</v>
      </c>
      <c r="N204" s="171">
        <v>6</v>
      </c>
      <c r="O204" s="171"/>
      <c r="P204" s="171"/>
      <c r="Q204" s="171"/>
      <c r="R204" s="171"/>
      <c r="S204" s="171"/>
      <c r="T204" s="171"/>
      <c r="U204" s="171"/>
      <c r="V204" s="171"/>
      <c r="W204" s="171">
        <v>3</v>
      </c>
      <c r="X204" s="171"/>
      <c r="Y204" s="171"/>
      <c r="Z204" s="171"/>
      <c r="AA204" s="171"/>
      <c r="AB204" s="171"/>
      <c r="AC204" s="171"/>
      <c r="AD204" s="171"/>
      <c r="AE204" s="171"/>
      <c r="AF204" s="171">
        <v>1</v>
      </c>
      <c r="AG204" s="172">
        <f t="shared" si="3"/>
        <v>12</v>
      </c>
      <c r="AH204" s="173">
        <f>D204-AG204</f>
        <v>0</v>
      </c>
    </row>
    <row r="205" spans="1:35" ht="35.25" hidden="1" x14ac:dyDescent="0.5">
      <c r="A205" s="127">
        <v>219</v>
      </c>
      <c r="B205" s="95" t="s">
        <v>438</v>
      </c>
      <c r="C205" s="36" t="s">
        <v>439</v>
      </c>
      <c r="D205" s="34">
        <v>12</v>
      </c>
      <c r="E205" s="171"/>
      <c r="F205" s="171">
        <v>1</v>
      </c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>
        <v>1</v>
      </c>
      <c r="R205" s="171"/>
      <c r="S205" s="171"/>
      <c r="T205" s="171"/>
      <c r="U205" s="171"/>
      <c r="V205" s="171"/>
      <c r="W205" s="171">
        <v>3</v>
      </c>
      <c r="X205" s="171"/>
      <c r="Y205" s="171"/>
      <c r="Z205" s="171"/>
      <c r="AA205" s="171"/>
      <c r="AB205" s="171"/>
      <c r="AC205" s="171"/>
      <c r="AD205" s="171">
        <v>1</v>
      </c>
      <c r="AE205" s="171"/>
      <c r="AF205" s="171">
        <v>3</v>
      </c>
      <c r="AG205" s="172">
        <f t="shared" si="3"/>
        <v>9</v>
      </c>
      <c r="AH205" s="173">
        <f>D205-AG205</f>
        <v>3</v>
      </c>
    </row>
    <row r="206" spans="1:35" ht="35.25" hidden="1" x14ac:dyDescent="0.5">
      <c r="A206" s="127">
        <v>220</v>
      </c>
      <c r="B206" s="94" t="s">
        <v>440</v>
      </c>
      <c r="C206" s="35" t="s">
        <v>441</v>
      </c>
      <c r="D206" s="32">
        <v>12</v>
      </c>
      <c r="E206" s="171"/>
      <c r="F206" s="171">
        <v>1</v>
      </c>
      <c r="G206" s="171"/>
      <c r="H206" s="171"/>
      <c r="I206" s="171"/>
      <c r="J206" s="171"/>
      <c r="K206" s="171"/>
      <c r="L206" s="171"/>
      <c r="M206" s="171"/>
      <c r="N206" s="171">
        <v>4</v>
      </c>
      <c r="O206" s="171"/>
      <c r="P206" s="171"/>
      <c r="Q206" s="171"/>
      <c r="R206" s="171"/>
      <c r="S206" s="171"/>
      <c r="T206" s="171"/>
      <c r="U206" s="171"/>
      <c r="V206" s="171"/>
      <c r="W206" s="171">
        <v>2</v>
      </c>
      <c r="X206" s="171">
        <v>6</v>
      </c>
      <c r="Y206" s="171"/>
      <c r="Z206" s="171"/>
      <c r="AA206" s="171"/>
      <c r="AB206" s="171"/>
      <c r="AC206" s="171"/>
      <c r="AD206" s="171"/>
      <c r="AE206" s="171"/>
      <c r="AF206" s="171"/>
      <c r="AG206" s="172">
        <f t="shared" si="3"/>
        <v>13</v>
      </c>
      <c r="AH206" s="174">
        <f>D206-AG206</f>
        <v>-1</v>
      </c>
    </row>
    <row r="207" spans="1:35" ht="35.25" hidden="1" x14ac:dyDescent="0.5">
      <c r="A207" s="127">
        <v>221</v>
      </c>
      <c r="B207" s="95" t="s">
        <v>442</v>
      </c>
      <c r="C207" s="36" t="s">
        <v>443</v>
      </c>
      <c r="D207" s="34">
        <v>12</v>
      </c>
      <c r="E207" s="171"/>
      <c r="F207" s="171">
        <v>1</v>
      </c>
      <c r="G207" s="171"/>
      <c r="H207" s="171"/>
      <c r="I207" s="171"/>
      <c r="J207" s="171"/>
      <c r="K207" s="171"/>
      <c r="L207" s="171"/>
      <c r="M207" s="171"/>
      <c r="N207" s="171">
        <v>5</v>
      </c>
      <c r="O207" s="171"/>
      <c r="P207" s="171"/>
      <c r="Q207" s="171"/>
      <c r="R207" s="171">
        <v>1</v>
      </c>
      <c r="S207" s="171"/>
      <c r="T207" s="171"/>
      <c r="U207" s="171"/>
      <c r="V207" s="171"/>
      <c r="W207" s="171">
        <v>5</v>
      </c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2">
        <f t="shared" si="3"/>
        <v>12</v>
      </c>
      <c r="AH207" s="173">
        <f>D207-AG207</f>
        <v>0</v>
      </c>
    </row>
    <row r="208" spans="1:35" ht="35.25" hidden="1" x14ac:dyDescent="0.5">
      <c r="A208" s="127">
        <v>222</v>
      </c>
      <c r="B208" s="95" t="s">
        <v>444</v>
      </c>
      <c r="C208" s="36" t="s">
        <v>445</v>
      </c>
      <c r="D208" s="34">
        <v>24</v>
      </c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>
        <f>1+1</f>
        <v>2</v>
      </c>
      <c r="Y208" s="171"/>
      <c r="Z208" s="171"/>
      <c r="AA208" s="171"/>
      <c r="AB208" s="171"/>
      <c r="AC208" s="171"/>
      <c r="AD208" s="171"/>
      <c r="AE208" s="171"/>
      <c r="AF208" s="171"/>
      <c r="AG208" s="172">
        <f t="shared" si="3"/>
        <v>2</v>
      </c>
      <c r="AH208" s="173">
        <f>D208-AG208</f>
        <v>22</v>
      </c>
    </row>
    <row r="209" spans="1:34" ht="35.25" hidden="1" x14ac:dyDescent="0.5">
      <c r="A209" s="127">
        <v>223</v>
      </c>
      <c r="B209" s="94" t="s">
        <v>446</v>
      </c>
      <c r="C209" s="35" t="s">
        <v>447</v>
      </c>
      <c r="D209" s="32">
        <v>60</v>
      </c>
      <c r="E209" s="171"/>
      <c r="F209" s="171"/>
      <c r="G209" s="171"/>
      <c r="H209" s="171"/>
      <c r="I209" s="171"/>
      <c r="J209" s="171">
        <v>6</v>
      </c>
      <c r="K209" s="171"/>
      <c r="L209" s="171"/>
      <c r="M209" s="171"/>
      <c r="N209" s="171">
        <v>7</v>
      </c>
      <c r="O209" s="171"/>
      <c r="P209" s="171"/>
      <c r="Q209" s="171"/>
      <c r="R209" s="171">
        <v>6</v>
      </c>
      <c r="S209" s="171"/>
      <c r="T209" s="171"/>
      <c r="U209" s="171"/>
      <c r="V209" s="171"/>
      <c r="W209" s="171">
        <v>6</v>
      </c>
      <c r="X209" s="171">
        <f>5</f>
        <v>5</v>
      </c>
      <c r="Y209" s="171"/>
      <c r="Z209" s="171"/>
      <c r="AA209" s="171"/>
      <c r="AB209" s="171"/>
      <c r="AC209" s="171"/>
      <c r="AD209" s="171"/>
      <c r="AE209" s="171"/>
      <c r="AF209" s="171"/>
      <c r="AG209" s="172">
        <f t="shared" si="3"/>
        <v>30</v>
      </c>
      <c r="AH209" s="173">
        <f>D209-AG209</f>
        <v>30</v>
      </c>
    </row>
    <row r="210" spans="1:34" ht="35.25" hidden="1" x14ac:dyDescent="0.5">
      <c r="A210" s="127">
        <v>224</v>
      </c>
      <c r="B210" s="95" t="s">
        <v>448</v>
      </c>
      <c r="C210" s="36" t="s">
        <v>449</v>
      </c>
      <c r="D210" s="34">
        <v>60</v>
      </c>
      <c r="E210" s="171"/>
      <c r="F210" s="171">
        <v>6</v>
      </c>
      <c r="G210" s="171"/>
      <c r="H210" s="171"/>
      <c r="I210" s="171">
        <v>2</v>
      </c>
      <c r="J210" s="171">
        <v>6</v>
      </c>
      <c r="K210" s="171"/>
      <c r="L210" s="171"/>
      <c r="M210" s="171"/>
      <c r="N210" s="171">
        <v>13</v>
      </c>
      <c r="O210" s="171"/>
      <c r="P210" s="171"/>
      <c r="Q210" s="171"/>
      <c r="R210" s="171">
        <v>6</v>
      </c>
      <c r="S210" s="171"/>
      <c r="T210" s="171"/>
      <c r="U210" s="171"/>
      <c r="V210" s="171"/>
      <c r="W210" s="171">
        <v>10</v>
      </c>
      <c r="X210" s="171">
        <f>6+6</f>
        <v>12</v>
      </c>
      <c r="Y210" s="171"/>
      <c r="Z210" s="171"/>
      <c r="AA210" s="171"/>
      <c r="AB210" s="171"/>
      <c r="AC210" s="171"/>
      <c r="AD210" s="171"/>
      <c r="AE210" s="171"/>
      <c r="AF210" s="171">
        <v>1</v>
      </c>
      <c r="AG210" s="172">
        <f t="shared" si="3"/>
        <v>56</v>
      </c>
      <c r="AH210" s="173">
        <f>D210-AG210</f>
        <v>4</v>
      </c>
    </row>
    <row r="211" spans="1:34" ht="35.25" hidden="1" x14ac:dyDescent="0.5">
      <c r="A211" s="127">
        <v>225</v>
      </c>
      <c r="B211" s="94" t="s">
        <v>450</v>
      </c>
      <c r="C211" s="35" t="s">
        <v>449</v>
      </c>
      <c r="D211" s="32">
        <v>48</v>
      </c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>
        <v>12</v>
      </c>
      <c r="X211" s="171">
        <f>6+6</f>
        <v>12</v>
      </c>
      <c r="Y211" s="171"/>
      <c r="Z211" s="171"/>
      <c r="AA211" s="171"/>
      <c r="AB211" s="171"/>
      <c r="AC211" s="171"/>
      <c r="AD211" s="171"/>
      <c r="AE211" s="171"/>
      <c r="AF211" s="171"/>
      <c r="AG211" s="172">
        <f t="shared" si="3"/>
        <v>24</v>
      </c>
      <c r="AH211" s="173">
        <f>D211-AG211</f>
        <v>24</v>
      </c>
    </row>
    <row r="212" spans="1:34" ht="35.25" hidden="1" x14ac:dyDescent="0.5">
      <c r="A212" s="127">
        <v>226</v>
      </c>
      <c r="B212" s="95" t="s">
        <v>451</v>
      </c>
      <c r="C212" s="36" t="s">
        <v>452</v>
      </c>
      <c r="D212" s="34">
        <v>12</v>
      </c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2">
        <f t="shared" si="3"/>
        <v>0</v>
      </c>
      <c r="AH212" s="173">
        <f>D212-AG212</f>
        <v>12</v>
      </c>
    </row>
    <row r="213" spans="1:34" ht="35.25" hidden="1" x14ac:dyDescent="0.5">
      <c r="A213" s="127">
        <v>227</v>
      </c>
      <c r="B213" s="95" t="s">
        <v>453</v>
      </c>
      <c r="C213" s="36" t="s">
        <v>454</v>
      </c>
      <c r="D213" s="34">
        <v>12</v>
      </c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>
        <v>6</v>
      </c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2">
        <f t="shared" si="3"/>
        <v>6</v>
      </c>
      <c r="AH213" s="173">
        <f>D213-AG213</f>
        <v>6</v>
      </c>
    </row>
    <row r="214" spans="1:34" ht="35.25" hidden="1" x14ac:dyDescent="0.5">
      <c r="A214" s="127">
        <v>228</v>
      </c>
      <c r="B214" s="94" t="s">
        <v>455</v>
      </c>
      <c r="C214" s="35" t="s">
        <v>456</v>
      </c>
      <c r="D214" s="32">
        <v>24</v>
      </c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2">
        <f t="shared" si="3"/>
        <v>0</v>
      </c>
      <c r="AH214" s="173">
        <f>D214-AG214</f>
        <v>24</v>
      </c>
    </row>
    <row r="215" spans="1:34" ht="35.25" hidden="1" x14ac:dyDescent="0.5">
      <c r="A215" s="127">
        <v>229</v>
      </c>
      <c r="B215" s="95" t="s">
        <v>455</v>
      </c>
      <c r="C215" s="36" t="s">
        <v>456</v>
      </c>
      <c r="D215" s="34">
        <v>312</v>
      </c>
      <c r="E215" s="171"/>
      <c r="F215" s="171"/>
      <c r="G215" s="171"/>
      <c r="H215" s="171"/>
      <c r="I215" s="171"/>
      <c r="J215" s="171"/>
      <c r="K215" s="171">
        <v>84</v>
      </c>
      <c r="L215" s="171">
        <v>225</v>
      </c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2">
        <f t="shared" si="3"/>
        <v>309</v>
      </c>
      <c r="AH215" s="173">
        <f>D215-AG215</f>
        <v>3</v>
      </c>
    </row>
    <row r="216" spans="1:34" ht="35.25" hidden="1" x14ac:dyDescent="0.5">
      <c r="A216" s="127">
        <v>230</v>
      </c>
      <c r="B216" s="95" t="s">
        <v>457</v>
      </c>
      <c r="C216" s="36" t="s">
        <v>458</v>
      </c>
      <c r="D216" s="34">
        <v>12</v>
      </c>
      <c r="E216" s="171"/>
      <c r="F216" s="171">
        <v>3</v>
      </c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>
        <v>2</v>
      </c>
      <c r="R216" s="171"/>
      <c r="S216" s="171"/>
      <c r="T216" s="171"/>
      <c r="U216" s="171"/>
      <c r="V216" s="171"/>
      <c r="W216" s="171">
        <v>4</v>
      </c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2">
        <f t="shared" si="3"/>
        <v>9</v>
      </c>
      <c r="AH216" s="173">
        <f>D216-AG216</f>
        <v>3</v>
      </c>
    </row>
    <row r="217" spans="1:34" ht="35.25" hidden="1" x14ac:dyDescent="0.5">
      <c r="A217" s="127">
        <v>231</v>
      </c>
      <c r="B217" s="95" t="s">
        <v>459</v>
      </c>
      <c r="C217" s="36" t="s">
        <v>460</v>
      </c>
      <c r="D217" s="34">
        <v>24</v>
      </c>
      <c r="E217" s="171"/>
      <c r="F217" s="171"/>
      <c r="G217" s="171"/>
      <c r="H217" s="171"/>
      <c r="I217" s="171"/>
      <c r="J217" s="171"/>
      <c r="K217" s="171"/>
      <c r="L217" s="171"/>
      <c r="M217" s="171"/>
      <c r="N217" s="171">
        <v>6</v>
      </c>
      <c r="O217" s="171"/>
      <c r="P217" s="171"/>
      <c r="Q217" s="171">
        <v>6</v>
      </c>
      <c r="R217" s="171"/>
      <c r="S217" s="171"/>
      <c r="T217" s="171"/>
      <c r="U217" s="171"/>
      <c r="V217" s="171"/>
      <c r="W217" s="171">
        <v>6</v>
      </c>
      <c r="X217" s="171"/>
      <c r="Y217" s="171"/>
      <c r="Z217" s="171"/>
      <c r="AA217" s="171"/>
      <c r="AB217" s="171"/>
      <c r="AC217" s="171"/>
      <c r="AD217" s="171">
        <v>1</v>
      </c>
      <c r="AE217" s="171"/>
      <c r="AF217" s="171"/>
      <c r="AG217" s="172">
        <f t="shared" si="3"/>
        <v>19</v>
      </c>
      <c r="AH217" s="173">
        <f>D217-AG217</f>
        <v>5</v>
      </c>
    </row>
    <row r="218" spans="1:34" ht="35.25" hidden="1" x14ac:dyDescent="0.5">
      <c r="A218" s="127">
        <v>232</v>
      </c>
      <c r="B218" s="95" t="s">
        <v>461</v>
      </c>
      <c r="C218" s="36" t="s">
        <v>460</v>
      </c>
      <c r="D218" s="34">
        <v>12</v>
      </c>
      <c r="E218" s="171"/>
      <c r="F218" s="171">
        <v>10</v>
      </c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>
        <v>2</v>
      </c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2">
        <f t="shared" si="3"/>
        <v>12</v>
      </c>
      <c r="AH218" s="173">
        <f>D218-AG218</f>
        <v>0</v>
      </c>
    </row>
    <row r="219" spans="1:34" ht="35.25" hidden="1" x14ac:dyDescent="0.5">
      <c r="A219" s="127">
        <v>233</v>
      </c>
      <c r="B219" s="95" t="s">
        <v>462</v>
      </c>
      <c r="C219" s="36" t="s">
        <v>463</v>
      </c>
      <c r="D219" s="34">
        <v>24</v>
      </c>
      <c r="E219" s="171"/>
      <c r="F219" s="171">
        <v>5</v>
      </c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>
        <v>2</v>
      </c>
      <c r="R219" s="171">
        <v>5</v>
      </c>
      <c r="S219" s="171"/>
      <c r="T219" s="171">
        <v>2</v>
      </c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2">
        <f t="shared" si="3"/>
        <v>14</v>
      </c>
      <c r="AH219" s="173">
        <f>D219-AG219</f>
        <v>10</v>
      </c>
    </row>
    <row r="220" spans="1:34" ht="35.25" hidden="1" x14ac:dyDescent="0.5">
      <c r="A220" s="127">
        <v>234</v>
      </c>
      <c r="B220" s="95" t="s">
        <v>464</v>
      </c>
      <c r="C220" s="36" t="s">
        <v>465</v>
      </c>
      <c r="D220" s="34">
        <v>24</v>
      </c>
      <c r="E220" s="171"/>
      <c r="F220" s="171">
        <v>5</v>
      </c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>
        <v>2</v>
      </c>
      <c r="T220" s="171"/>
      <c r="U220" s="171"/>
      <c r="V220" s="171"/>
      <c r="W220" s="171">
        <v>5</v>
      </c>
      <c r="X220" s="171"/>
      <c r="Y220" s="171"/>
      <c r="Z220" s="171"/>
      <c r="AA220" s="171"/>
      <c r="AB220" s="171"/>
      <c r="AC220" s="171"/>
      <c r="AD220" s="171">
        <v>1</v>
      </c>
      <c r="AE220" s="171"/>
      <c r="AF220" s="171">
        <v>10</v>
      </c>
      <c r="AG220" s="172">
        <f t="shared" si="3"/>
        <v>23</v>
      </c>
      <c r="AH220" s="173">
        <f>D220-AG220</f>
        <v>1</v>
      </c>
    </row>
    <row r="221" spans="1:34" ht="35.25" hidden="1" x14ac:dyDescent="0.5">
      <c r="A221" s="127">
        <v>235</v>
      </c>
      <c r="B221" s="95" t="s">
        <v>1146</v>
      </c>
      <c r="C221" s="36" t="s">
        <v>467</v>
      </c>
      <c r="D221" s="34">
        <v>36</v>
      </c>
      <c r="E221" s="171"/>
      <c r="F221" s="171">
        <v>4</v>
      </c>
      <c r="G221" s="171"/>
      <c r="H221" s="171"/>
      <c r="I221" s="171"/>
      <c r="J221" s="171"/>
      <c r="K221" s="171"/>
      <c r="L221" s="171"/>
      <c r="M221" s="171"/>
      <c r="N221" s="171">
        <f>10+2</f>
        <v>12</v>
      </c>
      <c r="O221" s="171"/>
      <c r="P221" s="171"/>
      <c r="Q221" s="171">
        <v>2</v>
      </c>
      <c r="R221" s="171">
        <v>2</v>
      </c>
      <c r="S221" s="171"/>
      <c r="T221" s="171"/>
      <c r="U221" s="171"/>
      <c r="V221" s="171"/>
      <c r="W221" s="171">
        <v>10</v>
      </c>
      <c r="X221" s="171">
        <v>5</v>
      </c>
      <c r="Y221" s="171">
        <v>1</v>
      </c>
      <c r="Z221" s="171"/>
      <c r="AA221" s="171"/>
      <c r="AB221" s="171">
        <v>5</v>
      </c>
      <c r="AC221" s="171"/>
      <c r="AD221" s="171"/>
      <c r="AE221" s="171"/>
      <c r="AF221" s="171"/>
      <c r="AG221" s="172">
        <f t="shared" si="3"/>
        <v>41</v>
      </c>
      <c r="AH221" s="173">
        <f>D221-AG221</f>
        <v>-5</v>
      </c>
    </row>
    <row r="222" spans="1:34" ht="35.25" hidden="1" x14ac:dyDescent="0.5">
      <c r="A222" s="127">
        <v>236</v>
      </c>
      <c r="B222" s="94" t="s">
        <v>468</v>
      </c>
      <c r="C222" s="35" t="s">
        <v>469</v>
      </c>
      <c r="D222" s="32">
        <v>12</v>
      </c>
      <c r="E222" s="171"/>
      <c r="F222" s="171">
        <v>3</v>
      </c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>
        <v>2</v>
      </c>
      <c r="R222" s="171"/>
      <c r="S222" s="171"/>
      <c r="T222" s="171"/>
      <c r="U222" s="171"/>
      <c r="V222" s="171"/>
      <c r="W222" s="171">
        <v>6</v>
      </c>
      <c r="X222" s="171"/>
      <c r="Y222" s="171"/>
      <c r="Z222" s="171"/>
      <c r="AA222" s="171"/>
      <c r="AB222" s="171"/>
      <c r="AC222" s="171">
        <v>1</v>
      </c>
      <c r="AD222" s="171"/>
      <c r="AE222" s="171"/>
      <c r="AF222" s="171"/>
      <c r="AG222" s="172">
        <f t="shared" si="3"/>
        <v>12</v>
      </c>
      <c r="AH222" s="173">
        <f>D222-AG222</f>
        <v>0</v>
      </c>
    </row>
    <row r="223" spans="1:34" ht="35.25" hidden="1" x14ac:dyDescent="0.5">
      <c r="A223" s="127">
        <v>237</v>
      </c>
      <c r="B223" s="95" t="s">
        <v>470</v>
      </c>
      <c r="C223" s="36" t="s">
        <v>471</v>
      </c>
      <c r="D223" s="34">
        <v>12</v>
      </c>
      <c r="E223" s="171"/>
      <c r="F223" s="171">
        <v>2</v>
      </c>
      <c r="G223" s="171"/>
      <c r="H223" s="171"/>
      <c r="I223" s="171"/>
      <c r="J223" s="171"/>
      <c r="K223" s="171"/>
      <c r="L223" s="171"/>
      <c r="M223" s="171"/>
      <c r="N223" s="171">
        <v>3</v>
      </c>
      <c r="O223" s="171"/>
      <c r="P223" s="171"/>
      <c r="Q223" s="171"/>
      <c r="R223" s="171">
        <v>1</v>
      </c>
      <c r="S223" s="171"/>
      <c r="T223" s="171"/>
      <c r="U223" s="171"/>
      <c r="V223" s="171"/>
      <c r="W223" s="171">
        <v>2</v>
      </c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2">
        <f t="shared" si="3"/>
        <v>8</v>
      </c>
      <c r="AH223" s="173">
        <f>D223-AG223</f>
        <v>4</v>
      </c>
    </row>
    <row r="224" spans="1:34" ht="35.25" hidden="1" x14ac:dyDescent="0.5">
      <c r="A224" s="127">
        <v>238</v>
      </c>
      <c r="B224" s="95" t="s">
        <v>472</v>
      </c>
      <c r="C224" s="36" t="s">
        <v>473</v>
      </c>
      <c r="D224" s="34">
        <v>12</v>
      </c>
      <c r="E224" s="171"/>
      <c r="F224" s="171"/>
      <c r="G224" s="171"/>
      <c r="H224" s="171"/>
      <c r="I224" s="171"/>
      <c r="J224" s="171"/>
      <c r="K224" s="171"/>
      <c r="L224" s="171"/>
      <c r="M224" s="171"/>
      <c r="N224" s="171">
        <v>4</v>
      </c>
      <c r="O224" s="171"/>
      <c r="P224" s="171"/>
      <c r="Q224" s="171">
        <v>2</v>
      </c>
      <c r="R224" s="171"/>
      <c r="S224" s="171"/>
      <c r="T224" s="171"/>
      <c r="U224" s="171"/>
      <c r="V224" s="171"/>
      <c r="W224" s="171">
        <v>6</v>
      </c>
      <c r="X224" s="171"/>
      <c r="Y224" s="171"/>
      <c r="Z224" s="171"/>
      <c r="AA224" s="171"/>
      <c r="AB224" s="171"/>
      <c r="AC224" s="171"/>
      <c r="AD224" s="171"/>
      <c r="AE224" s="171">
        <v>1</v>
      </c>
      <c r="AF224" s="171">
        <v>1</v>
      </c>
      <c r="AG224" s="172">
        <f t="shared" si="3"/>
        <v>14</v>
      </c>
      <c r="AH224" s="173">
        <f>D224-AG224</f>
        <v>-2</v>
      </c>
    </row>
    <row r="225" spans="1:34" ht="35.25" hidden="1" x14ac:dyDescent="0.5">
      <c r="A225" s="127">
        <v>239</v>
      </c>
      <c r="B225" s="95" t="s">
        <v>474</v>
      </c>
      <c r="C225" s="36" t="s">
        <v>475</v>
      </c>
      <c r="D225" s="34">
        <v>12</v>
      </c>
      <c r="E225" s="171"/>
      <c r="F225" s="171">
        <v>2</v>
      </c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>
        <v>3</v>
      </c>
      <c r="U225" s="171"/>
      <c r="V225" s="171"/>
      <c r="W225" s="171">
        <v>2</v>
      </c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2">
        <f t="shared" si="3"/>
        <v>7</v>
      </c>
      <c r="AH225" s="173">
        <f>D225-AG225</f>
        <v>5</v>
      </c>
    </row>
    <row r="226" spans="1:34" ht="35.25" hidden="1" x14ac:dyDescent="0.5">
      <c r="A226" s="127">
        <v>240</v>
      </c>
      <c r="B226" s="95" t="s">
        <v>476</v>
      </c>
      <c r="C226" s="36" t="s">
        <v>477</v>
      </c>
      <c r="D226" s="34">
        <v>24</v>
      </c>
      <c r="E226" s="171"/>
      <c r="F226" s="171">
        <v>8</v>
      </c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>
        <v>6</v>
      </c>
      <c r="X226" s="171">
        <v>5</v>
      </c>
      <c r="Y226" s="171"/>
      <c r="Z226" s="171"/>
      <c r="AA226" s="171"/>
      <c r="AB226" s="171"/>
      <c r="AC226" s="171"/>
      <c r="AD226" s="171"/>
      <c r="AE226" s="171"/>
      <c r="AF226" s="171"/>
      <c r="AG226" s="172">
        <f t="shared" si="3"/>
        <v>19</v>
      </c>
      <c r="AH226" s="173">
        <f>D226-AG226</f>
        <v>5</v>
      </c>
    </row>
    <row r="227" spans="1:34" ht="35.25" hidden="1" x14ac:dyDescent="0.5">
      <c r="A227" s="127">
        <v>241</v>
      </c>
      <c r="B227" s="95" t="s">
        <v>478</v>
      </c>
      <c r="C227" s="36" t="s">
        <v>479</v>
      </c>
      <c r="D227" s="34">
        <v>24</v>
      </c>
      <c r="E227" s="171"/>
      <c r="F227" s="171">
        <v>5</v>
      </c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>
        <v>18</v>
      </c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2">
        <f t="shared" si="3"/>
        <v>23</v>
      </c>
      <c r="AH227" s="173">
        <f>D227-AG227</f>
        <v>1</v>
      </c>
    </row>
    <row r="228" spans="1:34" ht="35.25" hidden="1" x14ac:dyDescent="0.5">
      <c r="A228" s="127">
        <v>242</v>
      </c>
      <c r="B228" s="95" t="s">
        <v>480</v>
      </c>
      <c r="C228" s="36" t="s">
        <v>481</v>
      </c>
      <c r="D228" s="34">
        <v>24</v>
      </c>
      <c r="E228" s="171"/>
      <c r="F228" s="171">
        <v>4</v>
      </c>
      <c r="G228" s="171"/>
      <c r="H228" s="171"/>
      <c r="I228" s="171"/>
      <c r="J228" s="171"/>
      <c r="K228" s="171"/>
      <c r="L228" s="171"/>
      <c r="M228" s="171"/>
      <c r="N228" s="171">
        <v>6</v>
      </c>
      <c r="O228" s="171"/>
      <c r="P228" s="171"/>
      <c r="Q228" s="171"/>
      <c r="R228" s="171"/>
      <c r="S228" s="171"/>
      <c r="T228" s="171"/>
      <c r="U228" s="171"/>
      <c r="V228" s="171"/>
      <c r="W228" s="171">
        <v>6</v>
      </c>
      <c r="X228" s="171">
        <v>6</v>
      </c>
      <c r="Y228" s="171"/>
      <c r="Z228" s="171"/>
      <c r="AA228" s="171"/>
      <c r="AB228" s="171"/>
      <c r="AC228" s="171"/>
      <c r="AD228" s="171"/>
      <c r="AE228" s="171"/>
      <c r="AF228" s="171">
        <v>1</v>
      </c>
      <c r="AG228" s="172">
        <f t="shared" si="3"/>
        <v>23</v>
      </c>
      <c r="AH228" s="173">
        <f>D228-AG228</f>
        <v>1</v>
      </c>
    </row>
    <row r="229" spans="1:34" ht="35.25" hidden="1" x14ac:dyDescent="0.5">
      <c r="A229" s="127">
        <v>243</v>
      </c>
      <c r="B229" s="95" t="s">
        <v>482</v>
      </c>
      <c r="C229" s="36" t="s">
        <v>483</v>
      </c>
      <c r="D229" s="34">
        <v>12</v>
      </c>
      <c r="E229" s="171"/>
      <c r="F229" s="171">
        <v>2</v>
      </c>
      <c r="G229" s="171"/>
      <c r="H229" s="171"/>
      <c r="I229" s="171"/>
      <c r="J229" s="171"/>
      <c r="K229" s="171"/>
      <c r="L229" s="171"/>
      <c r="M229" s="171"/>
      <c r="N229" s="171">
        <v>4</v>
      </c>
      <c r="O229" s="171"/>
      <c r="P229" s="171"/>
      <c r="Q229" s="171">
        <v>2</v>
      </c>
      <c r="R229" s="171"/>
      <c r="S229" s="171"/>
      <c r="T229" s="171"/>
      <c r="U229" s="171"/>
      <c r="V229" s="171"/>
      <c r="W229" s="171">
        <v>4</v>
      </c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2">
        <f t="shared" si="3"/>
        <v>12</v>
      </c>
      <c r="AH229" s="173">
        <f>D229-AG229</f>
        <v>0</v>
      </c>
    </row>
    <row r="230" spans="1:34" ht="35.25" hidden="1" x14ac:dyDescent="0.5">
      <c r="A230" s="127">
        <v>244</v>
      </c>
      <c r="B230" s="95" t="s">
        <v>484</v>
      </c>
      <c r="C230" s="36" t="s">
        <v>485</v>
      </c>
      <c r="D230" s="34">
        <v>60</v>
      </c>
      <c r="E230" s="171"/>
      <c r="F230" s="171"/>
      <c r="G230" s="171">
        <v>1</v>
      </c>
      <c r="H230" s="171"/>
      <c r="I230" s="171"/>
      <c r="J230" s="171">
        <v>7</v>
      </c>
      <c r="K230" s="171"/>
      <c r="L230" s="171"/>
      <c r="M230" s="171">
        <v>6</v>
      </c>
      <c r="N230" s="171">
        <v>6</v>
      </c>
      <c r="O230" s="171"/>
      <c r="P230" s="171"/>
      <c r="Q230" s="171">
        <v>3</v>
      </c>
      <c r="R230" s="171">
        <v>5</v>
      </c>
      <c r="S230" s="171"/>
      <c r="T230" s="171"/>
      <c r="U230" s="171"/>
      <c r="V230" s="171"/>
      <c r="W230" s="171" t="s">
        <v>811</v>
      </c>
      <c r="X230" s="171"/>
      <c r="Y230" s="171"/>
      <c r="Z230" s="171"/>
      <c r="AA230" s="171"/>
      <c r="AB230" s="171"/>
      <c r="AC230" s="171"/>
      <c r="AD230" s="171">
        <v>1</v>
      </c>
      <c r="AE230" s="171">
        <v>1</v>
      </c>
      <c r="AF230" s="171">
        <v>4</v>
      </c>
      <c r="AG230" s="172">
        <f t="shared" si="3"/>
        <v>34</v>
      </c>
      <c r="AH230" s="173">
        <f>D230-AG230</f>
        <v>26</v>
      </c>
    </row>
    <row r="231" spans="1:34" ht="35.25" hidden="1" x14ac:dyDescent="0.5">
      <c r="A231" s="127">
        <v>245</v>
      </c>
      <c r="B231" s="95" t="s">
        <v>486</v>
      </c>
      <c r="C231" s="36" t="s">
        <v>487</v>
      </c>
      <c r="D231" s="34">
        <v>12</v>
      </c>
      <c r="E231" s="171"/>
      <c r="F231" s="171"/>
      <c r="G231" s="171"/>
      <c r="H231" s="171"/>
      <c r="I231" s="171"/>
      <c r="J231" s="171"/>
      <c r="K231" s="171"/>
      <c r="L231" s="171"/>
      <c r="M231" s="171"/>
      <c r="N231" s="171">
        <v>5</v>
      </c>
      <c r="O231" s="171"/>
      <c r="P231" s="171"/>
      <c r="Q231" s="171"/>
      <c r="R231" s="171"/>
      <c r="S231" s="171"/>
      <c r="T231" s="171"/>
      <c r="U231" s="171"/>
      <c r="V231" s="171"/>
      <c r="W231" s="171">
        <v>6</v>
      </c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2">
        <f t="shared" si="3"/>
        <v>11</v>
      </c>
      <c r="AH231" s="173">
        <f>D231-AG231</f>
        <v>1</v>
      </c>
    </row>
    <row r="232" spans="1:34" ht="35.25" hidden="1" x14ac:dyDescent="0.5">
      <c r="A232" s="127">
        <v>246</v>
      </c>
      <c r="B232" s="95" t="s">
        <v>488</v>
      </c>
      <c r="C232" s="36" t="s">
        <v>489</v>
      </c>
      <c r="D232" s="34">
        <v>12</v>
      </c>
      <c r="E232" s="171"/>
      <c r="F232" s="171"/>
      <c r="G232" s="171"/>
      <c r="H232" s="171"/>
      <c r="I232" s="171"/>
      <c r="J232" s="171"/>
      <c r="K232" s="171"/>
      <c r="L232" s="171"/>
      <c r="M232" s="171"/>
      <c r="N232" s="171">
        <v>6</v>
      </c>
      <c r="O232" s="171"/>
      <c r="P232" s="171"/>
      <c r="Q232" s="171"/>
      <c r="R232" s="171"/>
      <c r="S232" s="171"/>
      <c r="T232" s="171"/>
      <c r="U232" s="171"/>
      <c r="V232" s="171"/>
      <c r="W232" s="171">
        <v>6</v>
      </c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2">
        <f t="shared" si="3"/>
        <v>12</v>
      </c>
      <c r="AH232" s="173">
        <f>D232-AG232</f>
        <v>0</v>
      </c>
    </row>
    <row r="233" spans="1:34" ht="35.25" hidden="1" x14ac:dyDescent="0.5">
      <c r="A233" s="127">
        <v>247</v>
      </c>
      <c r="B233" s="95" t="s">
        <v>490</v>
      </c>
      <c r="C233" s="36" t="s">
        <v>491</v>
      </c>
      <c r="D233" s="34">
        <v>12</v>
      </c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>
        <v>12</v>
      </c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2">
        <f t="shared" si="3"/>
        <v>12</v>
      </c>
      <c r="AH233" s="173">
        <f>D233-AG233</f>
        <v>0</v>
      </c>
    </row>
    <row r="234" spans="1:34" ht="35.25" hidden="1" x14ac:dyDescent="0.5">
      <c r="A234" s="127">
        <v>248</v>
      </c>
      <c r="B234" s="95" t="s">
        <v>492</v>
      </c>
      <c r="C234" s="36" t="s">
        <v>493</v>
      </c>
      <c r="D234" s="34">
        <v>1</v>
      </c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2">
        <f t="shared" si="3"/>
        <v>0</v>
      </c>
      <c r="AH234" s="173">
        <f>D234-AG234</f>
        <v>1</v>
      </c>
    </row>
    <row r="235" spans="1:34" ht="35.25" hidden="1" x14ac:dyDescent="0.5">
      <c r="A235" s="127">
        <v>249</v>
      </c>
      <c r="B235" s="94" t="s">
        <v>492</v>
      </c>
      <c r="C235" s="35" t="s">
        <v>494</v>
      </c>
      <c r="D235" s="32">
        <v>1</v>
      </c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2">
        <f t="shared" si="3"/>
        <v>0</v>
      </c>
      <c r="AH235" s="173">
        <f>D235-AG235</f>
        <v>1</v>
      </c>
    </row>
    <row r="236" spans="1:34" ht="35.25" hidden="1" x14ac:dyDescent="0.5">
      <c r="A236" s="127">
        <v>250</v>
      </c>
      <c r="B236" s="94" t="s">
        <v>495</v>
      </c>
      <c r="C236" s="35" t="s">
        <v>496</v>
      </c>
      <c r="D236" s="32">
        <v>3</v>
      </c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2">
        <f t="shared" si="3"/>
        <v>0</v>
      </c>
      <c r="AH236" s="173">
        <f>D236-AG236</f>
        <v>3</v>
      </c>
    </row>
    <row r="237" spans="1:34" ht="35.25" hidden="1" x14ac:dyDescent="0.5">
      <c r="A237" s="127">
        <v>251</v>
      </c>
      <c r="B237" s="95" t="s">
        <v>497</v>
      </c>
      <c r="C237" s="36" t="s">
        <v>498</v>
      </c>
      <c r="D237" s="34">
        <v>3</v>
      </c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2">
        <f t="shared" si="3"/>
        <v>0</v>
      </c>
      <c r="AH237" s="173">
        <f>D237-AG237</f>
        <v>3</v>
      </c>
    </row>
    <row r="238" spans="1:34" ht="35.25" hidden="1" x14ac:dyDescent="0.5">
      <c r="A238" s="127">
        <v>252</v>
      </c>
      <c r="B238" s="98" t="s">
        <v>499</v>
      </c>
      <c r="C238" s="43" t="s">
        <v>500</v>
      </c>
      <c r="D238" s="44">
        <v>107</v>
      </c>
      <c r="E238" s="171">
        <v>16</v>
      </c>
      <c r="F238" s="171"/>
      <c r="G238" s="171">
        <v>6</v>
      </c>
      <c r="H238" s="171"/>
      <c r="I238" s="171">
        <v>5</v>
      </c>
      <c r="J238" s="171">
        <v>18</v>
      </c>
      <c r="K238" s="171"/>
      <c r="L238" s="171"/>
      <c r="M238" s="171"/>
      <c r="N238" s="171">
        <v>15</v>
      </c>
      <c r="O238" s="171"/>
      <c r="P238" s="171"/>
      <c r="Q238" s="171"/>
      <c r="R238" s="171"/>
      <c r="S238" s="171">
        <v>3</v>
      </c>
      <c r="T238" s="171"/>
      <c r="U238" s="171"/>
      <c r="V238" s="171"/>
      <c r="W238" s="171">
        <v>3</v>
      </c>
      <c r="X238" s="171">
        <v>15</v>
      </c>
      <c r="Y238" s="171"/>
      <c r="Z238" s="171"/>
      <c r="AA238" s="171"/>
      <c r="AB238" s="171"/>
      <c r="AC238" s="171"/>
      <c r="AD238" s="171"/>
      <c r="AE238" s="171"/>
      <c r="AF238" s="171"/>
      <c r="AG238" s="172">
        <f t="shared" ref="AG238:AG299" si="4">SUM(F238:AF238)</f>
        <v>65</v>
      </c>
      <c r="AH238" s="173">
        <f>D238-AG238</f>
        <v>42</v>
      </c>
    </row>
    <row r="239" spans="1:34" ht="35.25" hidden="1" x14ac:dyDescent="0.5">
      <c r="A239" s="127">
        <v>253</v>
      </c>
      <c r="B239" s="98" t="s">
        <v>501</v>
      </c>
      <c r="C239" s="43" t="s">
        <v>502</v>
      </c>
      <c r="D239" s="44">
        <v>42</v>
      </c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>
        <v>7</v>
      </c>
      <c r="Q239" s="171">
        <v>14</v>
      </c>
      <c r="R239" s="171"/>
      <c r="S239" s="171"/>
      <c r="T239" s="171"/>
      <c r="U239" s="171"/>
      <c r="V239" s="171"/>
      <c r="W239" s="171">
        <v>6</v>
      </c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2">
        <f t="shared" si="4"/>
        <v>27</v>
      </c>
      <c r="AH239" s="173">
        <f>D239-AG239</f>
        <v>15</v>
      </c>
    </row>
    <row r="240" spans="1:34" ht="35.25" hidden="1" x14ac:dyDescent="0.5">
      <c r="A240" s="127">
        <v>254</v>
      </c>
      <c r="B240" s="98" t="s">
        <v>503</v>
      </c>
      <c r="C240" s="43" t="s">
        <v>504</v>
      </c>
      <c r="D240" s="44">
        <v>14</v>
      </c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>
        <v>7</v>
      </c>
      <c r="Q240" s="171">
        <v>7</v>
      </c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2">
        <f t="shared" si="4"/>
        <v>14</v>
      </c>
      <c r="AH240" s="173">
        <f>D240-AG240</f>
        <v>0</v>
      </c>
    </row>
    <row r="241" spans="1:34" ht="35.25" hidden="1" x14ac:dyDescent="0.5">
      <c r="A241" s="127">
        <v>255</v>
      </c>
      <c r="B241" s="98" t="s">
        <v>505</v>
      </c>
      <c r="C241" s="43" t="s">
        <v>506</v>
      </c>
      <c r="D241" s="44">
        <v>21</v>
      </c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>
        <v>10</v>
      </c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>
        <v>1</v>
      </c>
      <c r="AE241" s="171"/>
      <c r="AF241" s="171"/>
      <c r="AG241" s="172">
        <f t="shared" si="4"/>
        <v>11</v>
      </c>
      <c r="AH241" s="173">
        <f>D241-AG241</f>
        <v>10</v>
      </c>
    </row>
    <row r="242" spans="1:34" ht="35.25" hidden="1" x14ac:dyDescent="0.5">
      <c r="A242" s="127">
        <v>256</v>
      </c>
      <c r="B242" s="98" t="s">
        <v>507</v>
      </c>
      <c r="C242" s="43" t="s">
        <v>508</v>
      </c>
      <c r="D242" s="44">
        <v>30</v>
      </c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>
        <v>7</v>
      </c>
      <c r="Q242" s="171"/>
      <c r="R242" s="171"/>
      <c r="S242" s="171"/>
      <c r="T242" s="171"/>
      <c r="U242" s="171"/>
      <c r="V242" s="171"/>
      <c r="W242" s="171"/>
      <c r="X242" s="171">
        <v>15</v>
      </c>
      <c r="Y242" s="171"/>
      <c r="Z242" s="171"/>
      <c r="AA242" s="171"/>
      <c r="AB242" s="171"/>
      <c r="AC242" s="171"/>
      <c r="AD242" s="171"/>
      <c r="AE242" s="171"/>
      <c r="AF242" s="171"/>
      <c r="AG242" s="172">
        <f t="shared" si="4"/>
        <v>22</v>
      </c>
      <c r="AH242" s="173">
        <f>D242-AG242</f>
        <v>8</v>
      </c>
    </row>
    <row r="243" spans="1:34" ht="35.25" hidden="1" x14ac:dyDescent="0.5">
      <c r="A243" s="127">
        <v>257</v>
      </c>
      <c r="B243" s="98" t="s">
        <v>509</v>
      </c>
      <c r="C243" s="43" t="s">
        <v>510</v>
      </c>
      <c r="D243" s="44">
        <v>48</v>
      </c>
      <c r="E243" s="171"/>
      <c r="F243" s="171"/>
      <c r="G243" s="171"/>
      <c r="H243" s="171"/>
      <c r="I243" s="171"/>
      <c r="J243" s="171"/>
      <c r="K243" s="171"/>
      <c r="L243" s="171"/>
      <c r="M243" s="171"/>
      <c r="N243" s="171">
        <v>6</v>
      </c>
      <c r="O243" s="171"/>
      <c r="P243" s="171">
        <v>8</v>
      </c>
      <c r="Q243" s="171"/>
      <c r="R243" s="171"/>
      <c r="S243" s="171"/>
      <c r="T243" s="171"/>
      <c r="U243" s="171"/>
      <c r="V243" s="171"/>
      <c r="W243" s="171">
        <v>16</v>
      </c>
      <c r="X243" s="171">
        <v>16</v>
      </c>
      <c r="Y243" s="171"/>
      <c r="Z243" s="171"/>
      <c r="AA243" s="171"/>
      <c r="AB243" s="171">
        <v>5</v>
      </c>
      <c r="AC243" s="171"/>
      <c r="AD243" s="171">
        <v>1</v>
      </c>
      <c r="AE243" s="171"/>
      <c r="AF243" s="171">
        <v>1</v>
      </c>
      <c r="AG243" s="172">
        <f t="shared" si="4"/>
        <v>53</v>
      </c>
      <c r="AH243" s="173">
        <f>D243-AG243</f>
        <v>-5</v>
      </c>
    </row>
    <row r="244" spans="1:34" ht="35.25" hidden="1" x14ac:dyDescent="0.5">
      <c r="A244" s="127">
        <v>258</v>
      </c>
      <c r="B244" s="98" t="s">
        <v>511</v>
      </c>
      <c r="C244" s="43" t="s">
        <v>512</v>
      </c>
      <c r="D244" s="44">
        <v>60</v>
      </c>
      <c r="E244" s="171"/>
      <c r="F244" s="171"/>
      <c r="G244" s="171"/>
      <c r="H244" s="171"/>
      <c r="I244" s="171"/>
      <c r="J244" s="171">
        <v>5</v>
      </c>
      <c r="K244" s="171"/>
      <c r="L244" s="171"/>
      <c r="M244" s="171"/>
      <c r="N244" s="171"/>
      <c r="O244" s="171"/>
      <c r="P244" s="171">
        <v>6</v>
      </c>
      <c r="Q244" s="171">
        <v>12</v>
      </c>
      <c r="R244" s="171"/>
      <c r="S244" s="171"/>
      <c r="T244" s="171"/>
      <c r="U244" s="171"/>
      <c r="V244" s="171"/>
      <c r="W244" s="171"/>
      <c r="X244" s="171">
        <v>24</v>
      </c>
      <c r="Y244" s="171"/>
      <c r="Z244" s="171"/>
      <c r="AA244" s="171"/>
      <c r="AB244" s="171"/>
      <c r="AC244" s="171"/>
      <c r="AD244" s="171"/>
      <c r="AE244" s="171"/>
      <c r="AF244" s="171"/>
      <c r="AG244" s="172">
        <f t="shared" si="4"/>
        <v>47</v>
      </c>
      <c r="AH244" s="173">
        <f>D244-AG244</f>
        <v>13</v>
      </c>
    </row>
    <row r="245" spans="1:34" ht="35.25" hidden="1" x14ac:dyDescent="0.5">
      <c r="A245" s="127">
        <v>259</v>
      </c>
      <c r="B245" s="98" t="s">
        <v>513</v>
      </c>
      <c r="C245" s="43" t="s">
        <v>514</v>
      </c>
      <c r="D245" s="44">
        <v>25</v>
      </c>
      <c r="E245" s="171"/>
      <c r="F245" s="171"/>
      <c r="G245" s="171"/>
      <c r="H245" s="171"/>
      <c r="I245" s="171"/>
      <c r="J245" s="171">
        <v>5</v>
      </c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2">
        <f t="shared" si="4"/>
        <v>5</v>
      </c>
      <c r="AH245" s="173">
        <f>D245-AG245</f>
        <v>20</v>
      </c>
    </row>
    <row r="246" spans="1:34" ht="35.25" hidden="1" x14ac:dyDescent="0.5">
      <c r="A246" s="127">
        <v>260</v>
      </c>
      <c r="B246" s="98" t="s">
        <v>515</v>
      </c>
      <c r="C246" s="43" t="s">
        <v>516</v>
      </c>
      <c r="D246" s="44">
        <v>25</v>
      </c>
      <c r="E246" s="171"/>
      <c r="F246" s="171"/>
      <c r="G246" s="171"/>
      <c r="H246" s="171"/>
      <c r="I246" s="171"/>
      <c r="J246" s="171">
        <v>6</v>
      </c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>
        <v>4</v>
      </c>
      <c r="X246" s="171">
        <v>4</v>
      </c>
      <c r="Y246" s="171"/>
      <c r="Z246" s="171"/>
      <c r="AA246" s="171"/>
      <c r="AB246" s="171"/>
      <c r="AC246" s="171"/>
      <c r="AD246" s="171"/>
      <c r="AE246" s="171"/>
      <c r="AF246" s="171"/>
      <c r="AG246" s="172">
        <f t="shared" si="4"/>
        <v>14</v>
      </c>
      <c r="AH246" s="173">
        <f>D246-AG246</f>
        <v>11</v>
      </c>
    </row>
    <row r="247" spans="1:34" ht="35.25" hidden="1" x14ac:dyDescent="0.5">
      <c r="A247" s="127">
        <v>261</v>
      </c>
      <c r="B247" s="98" t="s">
        <v>517</v>
      </c>
      <c r="C247" s="43" t="s">
        <v>518</v>
      </c>
      <c r="D247" s="44">
        <f>52+24</f>
        <v>76</v>
      </c>
      <c r="E247" s="171"/>
      <c r="F247" s="171"/>
      <c r="G247" s="171">
        <v>6</v>
      </c>
      <c r="H247" s="171"/>
      <c r="I247" s="171">
        <v>13</v>
      </c>
      <c r="J247" s="171"/>
      <c r="K247" s="171"/>
      <c r="L247" s="171"/>
      <c r="M247" s="171"/>
      <c r="N247" s="171">
        <v>10</v>
      </c>
      <c r="O247" s="171"/>
      <c r="P247" s="171"/>
      <c r="Q247" s="171"/>
      <c r="R247" s="171"/>
      <c r="S247" s="171"/>
      <c r="T247" s="171"/>
      <c r="U247" s="171"/>
      <c r="V247" s="171"/>
      <c r="W247" s="171"/>
      <c r="X247" s="171">
        <v>10</v>
      </c>
      <c r="Y247" s="171"/>
      <c r="Z247" s="171"/>
      <c r="AA247" s="171"/>
      <c r="AB247" s="171"/>
      <c r="AC247" s="171"/>
      <c r="AD247" s="171"/>
      <c r="AE247" s="171"/>
      <c r="AF247" s="171"/>
      <c r="AG247" s="172">
        <f t="shared" si="4"/>
        <v>39</v>
      </c>
      <c r="AH247" s="173">
        <f>D247-AG247</f>
        <v>37</v>
      </c>
    </row>
    <row r="248" spans="1:34" ht="35.25" hidden="1" x14ac:dyDescent="0.5">
      <c r="A248" s="127">
        <v>262</v>
      </c>
      <c r="B248" s="98" t="s">
        <v>519</v>
      </c>
      <c r="C248" s="43" t="s">
        <v>520</v>
      </c>
      <c r="D248" s="44">
        <v>14</v>
      </c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>
        <v>7</v>
      </c>
      <c r="Q248" s="171"/>
      <c r="R248" s="171"/>
      <c r="S248" s="171"/>
      <c r="T248" s="171"/>
      <c r="U248" s="171"/>
      <c r="V248" s="171"/>
      <c r="W248" s="171">
        <v>7</v>
      </c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2">
        <f t="shared" si="4"/>
        <v>14</v>
      </c>
      <c r="AH248" s="173">
        <f>D248-AG248</f>
        <v>0</v>
      </c>
    </row>
    <row r="249" spans="1:34" ht="35.25" hidden="1" x14ac:dyDescent="0.5">
      <c r="A249" s="127">
        <v>263</v>
      </c>
      <c r="B249" s="98" t="s">
        <v>521</v>
      </c>
      <c r="C249" s="43" t="s">
        <v>522</v>
      </c>
      <c r="D249" s="44">
        <v>14</v>
      </c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>
        <v>7</v>
      </c>
      <c r="Q249" s="171"/>
      <c r="R249" s="171"/>
      <c r="S249" s="171"/>
      <c r="T249" s="171"/>
      <c r="U249" s="171"/>
      <c r="V249" s="171"/>
      <c r="W249" s="171">
        <v>5</v>
      </c>
      <c r="X249" s="171"/>
      <c r="Y249" s="171"/>
      <c r="Z249" s="171"/>
      <c r="AA249" s="171"/>
      <c r="AB249" s="171"/>
      <c r="AC249" s="171"/>
      <c r="AD249" s="171">
        <v>1</v>
      </c>
      <c r="AE249" s="171"/>
      <c r="AF249" s="171"/>
      <c r="AG249" s="172">
        <f t="shared" si="4"/>
        <v>13</v>
      </c>
      <c r="AH249" s="173">
        <f>D249-AG249</f>
        <v>1</v>
      </c>
    </row>
    <row r="250" spans="1:34" ht="35.25" hidden="1" x14ac:dyDescent="0.5">
      <c r="A250" s="127">
        <v>264</v>
      </c>
      <c r="B250" s="98" t="s">
        <v>523</v>
      </c>
      <c r="C250" s="43" t="s">
        <v>524</v>
      </c>
      <c r="D250" s="44">
        <v>36</v>
      </c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>
        <v>18</v>
      </c>
      <c r="Q250" s="171"/>
      <c r="R250" s="171">
        <v>4</v>
      </c>
      <c r="S250" s="171"/>
      <c r="T250" s="171"/>
      <c r="U250" s="171"/>
      <c r="V250" s="171"/>
      <c r="W250" s="171">
        <v>12</v>
      </c>
      <c r="X250" s="171"/>
      <c r="Y250" s="171"/>
      <c r="Z250" s="171"/>
      <c r="AA250" s="171"/>
      <c r="AB250" s="171">
        <v>2</v>
      </c>
      <c r="AC250" s="171"/>
      <c r="AD250" s="171"/>
      <c r="AE250" s="171"/>
      <c r="AF250" s="171">
        <v>1</v>
      </c>
      <c r="AG250" s="172">
        <f t="shared" si="4"/>
        <v>37</v>
      </c>
      <c r="AH250" s="173">
        <f>D250-AG250</f>
        <v>-1</v>
      </c>
    </row>
    <row r="251" spans="1:34" ht="35.25" hidden="1" x14ac:dyDescent="0.5">
      <c r="A251" s="127">
        <v>265</v>
      </c>
      <c r="B251" s="98" t="s">
        <v>525</v>
      </c>
      <c r="C251" s="43" t="s">
        <v>526</v>
      </c>
      <c r="D251" s="44">
        <v>120</v>
      </c>
      <c r="E251" s="171"/>
      <c r="F251" s="171"/>
      <c r="G251" s="171"/>
      <c r="H251" s="171"/>
      <c r="I251" s="171"/>
      <c r="J251" s="171">
        <v>24</v>
      </c>
      <c r="K251" s="171"/>
      <c r="L251" s="171"/>
      <c r="M251" s="171"/>
      <c r="N251" s="171">
        <v>12</v>
      </c>
      <c r="O251" s="171"/>
      <c r="P251" s="171">
        <v>24</v>
      </c>
      <c r="Q251" s="171"/>
      <c r="R251" s="171">
        <v>24</v>
      </c>
      <c r="S251" s="171"/>
      <c r="T251" s="171"/>
      <c r="U251" s="171"/>
      <c r="V251" s="171"/>
      <c r="W251" s="171">
        <v>30</v>
      </c>
      <c r="X251" s="171"/>
      <c r="Y251" s="171"/>
      <c r="Z251" s="171"/>
      <c r="AA251" s="171"/>
      <c r="AB251" s="171"/>
      <c r="AC251" s="171"/>
      <c r="AD251" s="171">
        <f>1+1</f>
        <v>2</v>
      </c>
      <c r="AE251" s="171">
        <v>3</v>
      </c>
      <c r="AF251" s="171">
        <v>1</v>
      </c>
      <c r="AG251" s="172">
        <f t="shared" si="4"/>
        <v>120</v>
      </c>
      <c r="AH251" s="173">
        <f>D251-AG251</f>
        <v>0</v>
      </c>
    </row>
    <row r="252" spans="1:34" ht="35.25" hidden="1" x14ac:dyDescent="0.5">
      <c r="A252" s="127">
        <v>266</v>
      </c>
      <c r="B252" s="98" t="s">
        <v>527</v>
      </c>
      <c r="C252" s="43" t="s">
        <v>528</v>
      </c>
      <c r="D252" s="44">
        <v>18</v>
      </c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>
        <v>9</v>
      </c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  <c r="AG252" s="172">
        <f t="shared" si="4"/>
        <v>9</v>
      </c>
      <c r="AH252" s="173">
        <f>D252-AG252</f>
        <v>9</v>
      </c>
    </row>
    <row r="253" spans="1:34" ht="35.25" hidden="1" x14ac:dyDescent="0.5">
      <c r="A253" s="127">
        <v>267</v>
      </c>
      <c r="B253" s="98" t="s">
        <v>529</v>
      </c>
      <c r="C253" s="43" t="s">
        <v>530</v>
      </c>
      <c r="D253" s="44">
        <v>18</v>
      </c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>
        <v>9</v>
      </c>
      <c r="Q253" s="171">
        <v>8</v>
      </c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>
        <v>1</v>
      </c>
      <c r="AE253" s="171"/>
      <c r="AF253" s="171"/>
      <c r="AG253" s="172">
        <f t="shared" si="4"/>
        <v>18</v>
      </c>
      <c r="AH253" s="173">
        <f>D253-AG253</f>
        <v>0</v>
      </c>
    </row>
    <row r="254" spans="1:34" ht="35.25" hidden="1" x14ac:dyDescent="0.5">
      <c r="A254" s="127">
        <v>268</v>
      </c>
      <c r="B254" s="98" t="s">
        <v>531</v>
      </c>
      <c r="C254" s="43" t="s">
        <v>532</v>
      </c>
      <c r="D254" s="44">
        <v>20</v>
      </c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>
        <v>10</v>
      </c>
      <c r="Q254" s="171"/>
      <c r="R254" s="171"/>
      <c r="S254" s="171"/>
      <c r="T254" s="171"/>
      <c r="U254" s="171"/>
      <c r="V254" s="171"/>
      <c r="W254" s="171">
        <v>9</v>
      </c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2">
        <f t="shared" si="4"/>
        <v>19</v>
      </c>
      <c r="AH254" s="173">
        <f>D254-AG254</f>
        <v>1</v>
      </c>
    </row>
    <row r="255" spans="1:34" ht="35.25" hidden="1" x14ac:dyDescent="0.5">
      <c r="A255" s="127">
        <v>269</v>
      </c>
      <c r="B255" s="98" t="s">
        <v>533</v>
      </c>
      <c r="C255" s="43" t="s">
        <v>534</v>
      </c>
      <c r="D255" s="44">
        <v>134</v>
      </c>
      <c r="E255" s="171"/>
      <c r="F255" s="171"/>
      <c r="G255" s="171">
        <v>12</v>
      </c>
      <c r="H255" s="171"/>
      <c r="I255" s="171">
        <v>10</v>
      </c>
      <c r="J255" s="171">
        <v>12</v>
      </c>
      <c r="K255" s="171"/>
      <c r="L255" s="171"/>
      <c r="M255" s="171"/>
      <c r="N255" s="171">
        <v>14</v>
      </c>
      <c r="O255" s="171"/>
      <c r="P255" s="171"/>
      <c r="Q255" s="171"/>
      <c r="R255" s="171">
        <v>15</v>
      </c>
      <c r="S255" s="171">
        <v>6</v>
      </c>
      <c r="T255" s="171"/>
      <c r="U255" s="171"/>
      <c r="V255" s="171"/>
      <c r="W255" s="171">
        <v>10</v>
      </c>
      <c r="X255" s="171">
        <f>10</f>
        <v>10</v>
      </c>
      <c r="Y255" s="171"/>
      <c r="Z255" s="171"/>
      <c r="AA255" s="171"/>
      <c r="AB255" s="171"/>
      <c r="AC255" s="171"/>
      <c r="AD255" s="171"/>
      <c r="AE255" s="171"/>
      <c r="AF255" s="171">
        <v>2</v>
      </c>
      <c r="AG255" s="172">
        <f t="shared" si="4"/>
        <v>91</v>
      </c>
      <c r="AH255" s="173">
        <f>D255-AG255</f>
        <v>43</v>
      </c>
    </row>
    <row r="256" spans="1:34" ht="35.25" hidden="1" x14ac:dyDescent="0.5">
      <c r="A256" s="127">
        <v>270</v>
      </c>
      <c r="B256" s="98" t="s">
        <v>535</v>
      </c>
      <c r="C256" s="43" t="s">
        <v>536</v>
      </c>
      <c r="D256" s="44">
        <v>30</v>
      </c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>
        <v>6</v>
      </c>
      <c r="S256" s="171"/>
      <c r="T256" s="171"/>
      <c r="U256" s="171"/>
      <c r="V256" s="171"/>
      <c r="W256" s="171">
        <v>10</v>
      </c>
      <c r="X256" s="171"/>
      <c r="Y256" s="171"/>
      <c r="Z256" s="171"/>
      <c r="AA256" s="171"/>
      <c r="AB256" s="171"/>
      <c r="AC256" s="171"/>
      <c r="AD256" s="171">
        <v>10</v>
      </c>
      <c r="AE256" s="171"/>
      <c r="AF256" s="171">
        <v>1</v>
      </c>
      <c r="AG256" s="172">
        <f t="shared" si="4"/>
        <v>27</v>
      </c>
      <c r="AH256" s="173">
        <f>D256-AG256</f>
        <v>3</v>
      </c>
    </row>
    <row r="257" spans="1:34" ht="35.25" hidden="1" x14ac:dyDescent="0.5">
      <c r="A257" s="127">
        <v>271</v>
      </c>
      <c r="B257" s="98" t="s">
        <v>537</v>
      </c>
      <c r="C257" s="43" t="s">
        <v>538</v>
      </c>
      <c r="D257" s="44">
        <v>10</v>
      </c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2">
        <f t="shared" si="4"/>
        <v>0</v>
      </c>
      <c r="AH257" s="173">
        <f>D257-AG257</f>
        <v>10</v>
      </c>
    </row>
    <row r="258" spans="1:34" ht="35.25" hidden="1" x14ac:dyDescent="0.5">
      <c r="A258" s="127">
        <v>272</v>
      </c>
      <c r="B258" s="98" t="s">
        <v>539</v>
      </c>
      <c r="C258" s="43" t="s">
        <v>540</v>
      </c>
      <c r="D258" s="44">
        <v>6</v>
      </c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>
        <v>3</v>
      </c>
      <c r="Q258" s="171">
        <v>2</v>
      </c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>
        <v>1</v>
      </c>
      <c r="AG258" s="172">
        <f t="shared" si="4"/>
        <v>6</v>
      </c>
      <c r="AH258" s="173">
        <f>D258-AG258</f>
        <v>0</v>
      </c>
    </row>
    <row r="259" spans="1:34" ht="35.25" hidden="1" x14ac:dyDescent="0.5">
      <c r="A259" s="127">
        <v>273</v>
      </c>
      <c r="B259" s="98" t="s">
        <v>541</v>
      </c>
      <c r="C259" s="43" t="s">
        <v>542</v>
      </c>
      <c r="D259" s="44">
        <v>1</v>
      </c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>
        <v>1</v>
      </c>
      <c r="AD259" s="171"/>
      <c r="AE259" s="171"/>
      <c r="AF259" s="171"/>
      <c r="AG259" s="172">
        <f t="shared" si="4"/>
        <v>1</v>
      </c>
      <c r="AH259" s="173">
        <f>D259-AG259</f>
        <v>0</v>
      </c>
    </row>
    <row r="260" spans="1:34" ht="35.25" hidden="1" x14ac:dyDescent="0.5">
      <c r="A260" s="127">
        <v>274</v>
      </c>
      <c r="B260" s="98" t="s">
        <v>543</v>
      </c>
      <c r="C260" s="43" t="s">
        <v>544</v>
      </c>
      <c r="D260" s="44">
        <v>108</v>
      </c>
      <c r="E260" s="171"/>
      <c r="F260" s="171"/>
      <c r="G260" s="171"/>
      <c r="H260" s="171"/>
      <c r="I260" s="171"/>
      <c r="J260" s="171">
        <v>12</v>
      </c>
      <c r="K260" s="171"/>
      <c r="L260" s="171">
        <v>12</v>
      </c>
      <c r="M260" s="171">
        <f>7+12</f>
        <v>19</v>
      </c>
      <c r="N260" s="171">
        <v>12</v>
      </c>
      <c r="O260" s="171"/>
      <c r="P260" s="171">
        <v>12</v>
      </c>
      <c r="Q260" s="171">
        <v>12</v>
      </c>
      <c r="R260" s="171">
        <v>12</v>
      </c>
      <c r="S260" s="171"/>
      <c r="T260" s="171"/>
      <c r="U260" s="171"/>
      <c r="V260" s="171"/>
      <c r="W260" s="171"/>
      <c r="X260" s="171">
        <v>12</v>
      </c>
      <c r="Y260" s="171"/>
      <c r="Z260" s="171"/>
      <c r="AA260" s="171"/>
      <c r="AB260" s="171"/>
      <c r="AC260" s="171"/>
      <c r="AD260" s="171"/>
      <c r="AE260" s="171"/>
      <c r="AF260" s="171"/>
      <c r="AG260" s="172">
        <f t="shared" si="4"/>
        <v>103</v>
      </c>
      <c r="AH260" s="173">
        <f>D260-AG260</f>
        <v>5</v>
      </c>
    </row>
    <row r="261" spans="1:34" ht="35.25" hidden="1" x14ac:dyDescent="0.5">
      <c r="A261" s="127">
        <v>275</v>
      </c>
      <c r="B261" s="98" t="s">
        <v>545</v>
      </c>
      <c r="C261" s="43" t="s">
        <v>546</v>
      </c>
      <c r="D261" s="44">
        <v>24</v>
      </c>
      <c r="E261" s="171"/>
      <c r="F261" s="171"/>
      <c r="G261" s="171"/>
      <c r="H261" s="171"/>
      <c r="I261" s="171"/>
      <c r="J261" s="171"/>
      <c r="K261" s="171"/>
      <c r="L261" s="171"/>
      <c r="M261" s="171"/>
      <c r="N261" s="171">
        <v>12</v>
      </c>
      <c r="O261" s="171"/>
      <c r="P261" s="171">
        <v>1</v>
      </c>
      <c r="Q261" s="171">
        <v>12</v>
      </c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2">
        <f t="shared" si="4"/>
        <v>25</v>
      </c>
      <c r="AH261" s="173">
        <f>D261-AG261</f>
        <v>-1</v>
      </c>
    </row>
    <row r="262" spans="1:34" ht="35.25" hidden="1" x14ac:dyDescent="0.5">
      <c r="A262" s="127">
        <v>276</v>
      </c>
      <c r="B262" s="98" t="s">
        <v>547</v>
      </c>
      <c r="C262" s="43" t="s">
        <v>548</v>
      </c>
      <c r="D262" s="44">
        <v>60</v>
      </c>
      <c r="E262" s="171"/>
      <c r="F262" s="171"/>
      <c r="G262" s="171"/>
      <c r="H262" s="171"/>
      <c r="I262" s="171"/>
      <c r="J262" s="171"/>
      <c r="K262" s="171"/>
      <c r="L262" s="171"/>
      <c r="M262" s="171">
        <v>12</v>
      </c>
      <c r="N262" s="171"/>
      <c r="O262" s="171">
        <v>1</v>
      </c>
      <c r="P262" s="171"/>
      <c r="Q262" s="171"/>
      <c r="R262" s="171"/>
      <c r="S262" s="171"/>
      <c r="T262" s="171"/>
      <c r="U262" s="171"/>
      <c r="V262" s="171"/>
      <c r="W262" s="171">
        <v>12</v>
      </c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2">
        <f t="shared" si="4"/>
        <v>25</v>
      </c>
      <c r="AH262" s="173">
        <f>D262-AG262</f>
        <v>35</v>
      </c>
    </row>
    <row r="263" spans="1:34" ht="35.25" hidden="1" x14ac:dyDescent="0.5">
      <c r="A263" s="127">
        <v>277</v>
      </c>
      <c r="B263" s="98" t="s">
        <v>549</v>
      </c>
      <c r="C263" s="43" t="s">
        <v>550</v>
      </c>
      <c r="D263" s="44">
        <v>54</v>
      </c>
      <c r="E263" s="171"/>
      <c r="F263" s="171"/>
      <c r="G263" s="171"/>
      <c r="H263" s="171"/>
      <c r="I263" s="171"/>
      <c r="J263" s="171"/>
      <c r="K263" s="171"/>
      <c r="L263" s="171"/>
      <c r="M263" s="171"/>
      <c r="N263" s="171">
        <v>2</v>
      </c>
      <c r="O263" s="171">
        <v>6</v>
      </c>
      <c r="P263" s="171"/>
      <c r="Q263" s="171"/>
      <c r="R263" s="171">
        <f>10+3</f>
        <v>13</v>
      </c>
      <c r="S263" s="171"/>
      <c r="T263" s="171"/>
      <c r="U263" s="171"/>
      <c r="V263" s="171"/>
      <c r="W263" s="171"/>
      <c r="X263" s="171"/>
      <c r="Y263" s="171">
        <v>1</v>
      </c>
      <c r="Z263" s="171"/>
      <c r="AA263" s="171"/>
      <c r="AB263" s="171"/>
      <c r="AC263" s="171"/>
      <c r="AD263" s="171">
        <v>1</v>
      </c>
      <c r="AE263" s="171"/>
      <c r="AF263" s="171"/>
      <c r="AG263" s="172">
        <f t="shared" si="4"/>
        <v>23</v>
      </c>
      <c r="AH263" s="173">
        <f>D263-AG263</f>
        <v>31</v>
      </c>
    </row>
    <row r="264" spans="1:34" ht="35.25" hidden="1" x14ac:dyDescent="0.5">
      <c r="A264" s="127">
        <v>278</v>
      </c>
      <c r="B264" s="98" t="s">
        <v>551</v>
      </c>
      <c r="C264" s="43" t="s">
        <v>552</v>
      </c>
      <c r="D264" s="44">
        <v>36</v>
      </c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>
        <v>12</v>
      </c>
      <c r="P264" s="171"/>
      <c r="Q264" s="171"/>
      <c r="R264" s="171"/>
      <c r="S264" s="171"/>
      <c r="T264" s="171"/>
      <c r="U264" s="171"/>
      <c r="V264" s="171"/>
      <c r="W264" s="171"/>
      <c r="X264" s="171">
        <v>7</v>
      </c>
      <c r="Y264" s="171">
        <v>2</v>
      </c>
      <c r="Z264" s="171"/>
      <c r="AA264" s="171"/>
      <c r="AB264" s="171"/>
      <c r="AC264" s="171"/>
      <c r="AD264" s="171"/>
      <c r="AE264" s="171"/>
      <c r="AF264" s="171"/>
      <c r="AG264" s="172">
        <f t="shared" si="4"/>
        <v>21</v>
      </c>
      <c r="AH264" s="173">
        <f>D264-AG264</f>
        <v>15</v>
      </c>
    </row>
    <row r="265" spans="1:34" ht="35.25" hidden="1" x14ac:dyDescent="0.5">
      <c r="A265" s="127">
        <v>279</v>
      </c>
      <c r="B265" s="98" t="s">
        <v>553</v>
      </c>
      <c r="C265" s="43" t="s">
        <v>554</v>
      </c>
      <c r="D265" s="44">
        <v>18</v>
      </c>
      <c r="E265" s="171"/>
      <c r="F265" s="171"/>
      <c r="G265" s="171"/>
      <c r="H265" s="171"/>
      <c r="I265" s="171"/>
      <c r="J265" s="171"/>
      <c r="K265" s="171"/>
      <c r="L265" s="171"/>
      <c r="M265" s="171">
        <v>2</v>
      </c>
      <c r="N265" s="171"/>
      <c r="O265" s="171">
        <v>3</v>
      </c>
      <c r="P265" s="171"/>
      <c r="Q265" s="171">
        <v>4</v>
      </c>
      <c r="R265" s="171"/>
      <c r="S265" s="171">
        <v>1</v>
      </c>
      <c r="T265" s="171"/>
      <c r="U265" s="171"/>
      <c r="V265" s="171"/>
      <c r="W265" s="171">
        <v>7</v>
      </c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2">
        <f t="shared" si="4"/>
        <v>17</v>
      </c>
      <c r="AH265" s="173">
        <f>D265-AG265</f>
        <v>1</v>
      </c>
    </row>
    <row r="266" spans="1:34" ht="35.25" hidden="1" x14ac:dyDescent="0.5">
      <c r="A266" s="127">
        <v>280</v>
      </c>
      <c r="B266" s="98" t="s">
        <v>555</v>
      </c>
      <c r="C266" s="43" t="s">
        <v>556</v>
      </c>
      <c r="D266" s="44">
        <v>7</v>
      </c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>
        <v>3</v>
      </c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2">
        <f t="shared" si="4"/>
        <v>3</v>
      </c>
      <c r="AH266" s="173">
        <f>D266-AG266</f>
        <v>4</v>
      </c>
    </row>
    <row r="267" spans="1:34" ht="35.25" hidden="1" x14ac:dyDescent="0.5">
      <c r="A267" s="127">
        <v>281</v>
      </c>
      <c r="B267" s="98" t="s">
        <v>557</v>
      </c>
      <c r="C267" s="43" t="s">
        <v>558</v>
      </c>
      <c r="D267" s="44">
        <v>7</v>
      </c>
      <c r="E267" s="171"/>
      <c r="F267" s="171"/>
      <c r="G267" s="171"/>
      <c r="H267" s="171"/>
      <c r="I267" s="171"/>
      <c r="J267" s="171">
        <v>3</v>
      </c>
      <c r="K267" s="171"/>
      <c r="L267" s="171"/>
      <c r="M267" s="171"/>
      <c r="N267" s="171">
        <v>3</v>
      </c>
      <c r="O267" s="171"/>
      <c r="P267" s="171">
        <v>3</v>
      </c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2">
        <f t="shared" si="4"/>
        <v>9</v>
      </c>
      <c r="AH267" s="173">
        <f>D267-AG267</f>
        <v>-2</v>
      </c>
    </row>
    <row r="268" spans="1:34" ht="35.25" hidden="1" x14ac:dyDescent="0.5">
      <c r="A268" s="127">
        <v>282</v>
      </c>
      <c r="B268" s="98" t="s">
        <v>559</v>
      </c>
      <c r="C268" s="43" t="s">
        <v>560</v>
      </c>
      <c r="D268" s="44">
        <v>12</v>
      </c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>
        <v>6</v>
      </c>
      <c r="Q268" s="171">
        <v>1</v>
      </c>
      <c r="R268" s="171">
        <v>6</v>
      </c>
      <c r="S268" s="171"/>
      <c r="T268" s="171"/>
      <c r="U268" s="171"/>
      <c r="V268" s="171"/>
      <c r="W268" s="171">
        <v>4</v>
      </c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2">
        <f t="shared" si="4"/>
        <v>17</v>
      </c>
      <c r="AH268" s="173">
        <f>D268-AG268</f>
        <v>-5</v>
      </c>
    </row>
    <row r="269" spans="1:34" ht="35.25" hidden="1" x14ac:dyDescent="0.5">
      <c r="A269" s="127">
        <v>283</v>
      </c>
      <c r="B269" s="98" t="s">
        <v>561</v>
      </c>
      <c r="C269" s="43" t="s">
        <v>562</v>
      </c>
      <c r="D269" s="44">
        <v>48</v>
      </c>
      <c r="E269" s="171"/>
      <c r="F269" s="171"/>
      <c r="G269" s="171"/>
      <c r="H269" s="171"/>
      <c r="I269" s="171"/>
      <c r="J269" s="171">
        <v>12</v>
      </c>
      <c r="K269" s="171"/>
      <c r="L269" s="171"/>
      <c r="M269" s="171"/>
      <c r="N269" s="171">
        <v>24</v>
      </c>
      <c r="O269" s="171"/>
      <c r="P269" s="171"/>
      <c r="Q269" s="171"/>
      <c r="R269" s="171">
        <v>12</v>
      </c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2">
        <f t="shared" si="4"/>
        <v>48</v>
      </c>
      <c r="AH269" s="173">
        <f>D269-AG269</f>
        <v>0</v>
      </c>
    </row>
    <row r="270" spans="1:34" ht="35.25" hidden="1" x14ac:dyDescent="0.5">
      <c r="A270" s="127">
        <v>284</v>
      </c>
      <c r="B270" s="98" t="s">
        <v>563</v>
      </c>
      <c r="C270" s="43" t="s">
        <v>564</v>
      </c>
      <c r="D270" s="44">
        <v>32</v>
      </c>
      <c r="E270" s="171"/>
      <c r="F270" s="171"/>
      <c r="G270" s="171"/>
      <c r="H270" s="171"/>
      <c r="I270" s="171">
        <v>12</v>
      </c>
      <c r="J270" s="171"/>
      <c r="K270" s="171"/>
      <c r="L270" s="171"/>
      <c r="M270" s="171"/>
      <c r="N270" s="171"/>
      <c r="O270" s="171"/>
      <c r="P270" s="171"/>
      <c r="Q270" s="171"/>
      <c r="R270" s="171">
        <v>11</v>
      </c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2">
        <f t="shared" si="4"/>
        <v>23</v>
      </c>
      <c r="AH270" s="173">
        <f>D270-AG270</f>
        <v>9</v>
      </c>
    </row>
    <row r="271" spans="1:34" ht="35.25" hidden="1" x14ac:dyDescent="0.5">
      <c r="A271" s="127">
        <v>285</v>
      </c>
      <c r="B271" s="98" t="s">
        <v>565</v>
      </c>
      <c r="C271" s="43" t="s">
        <v>566</v>
      </c>
      <c r="D271" s="44">
        <v>28</v>
      </c>
      <c r="E271" s="171"/>
      <c r="F271" s="171">
        <f>2+1</f>
        <v>3</v>
      </c>
      <c r="G271" s="171"/>
      <c r="H271" s="171"/>
      <c r="I271" s="171">
        <v>2</v>
      </c>
      <c r="J271" s="171"/>
      <c r="K271" s="171"/>
      <c r="L271" s="171"/>
      <c r="M271" s="171"/>
      <c r="N271" s="171">
        <v>5</v>
      </c>
      <c r="O271" s="171">
        <v>1</v>
      </c>
      <c r="P271" s="171"/>
      <c r="Q271" s="171"/>
      <c r="R271" s="171">
        <v>4</v>
      </c>
      <c r="S271" s="171"/>
      <c r="T271" s="171"/>
      <c r="U271" s="171"/>
      <c r="V271" s="171"/>
      <c r="W271" s="171"/>
      <c r="X271" s="171">
        <v>2</v>
      </c>
      <c r="Y271" s="171"/>
      <c r="Z271" s="171"/>
      <c r="AA271" s="171"/>
      <c r="AB271" s="171"/>
      <c r="AC271" s="171"/>
      <c r="AD271" s="171"/>
      <c r="AE271" s="171"/>
      <c r="AF271" s="171"/>
      <c r="AG271" s="172">
        <f t="shared" si="4"/>
        <v>17</v>
      </c>
      <c r="AH271" s="173">
        <f>D271-AG271</f>
        <v>11</v>
      </c>
    </row>
    <row r="272" spans="1:34" ht="35.25" hidden="1" x14ac:dyDescent="0.5">
      <c r="A272" s="127">
        <v>286</v>
      </c>
      <c r="B272" s="98" t="s">
        <v>567</v>
      </c>
      <c r="C272" s="43" t="s">
        <v>568</v>
      </c>
      <c r="D272" s="44">
        <v>8</v>
      </c>
      <c r="E272" s="171"/>
      <c r="F272" s="171"/>
      <c r="G272" s="171"/>
      <c r="H272" s="171"/>
      <c r="I272" s="171"/>
      <c r="J272" s="171">
        <v>2</v>
      </c>
      <c r="K272" s="171"/>
      <c r="L272" s="171"/>
      <c r="M272" s="171">
        <v>2</v>
      </c>
      <c r="N272" s="171"/>
      <c r="O272" s="171">
        <v>1</v>
      </c>
      <c r="P272" s="171"/>
      <c r="Q272" s="171">
        <v>1</v>
      </c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2">
        <f t="shared" si="4"/>
        <v>6</v>
      </c>
      <c r="AH272" s="173">
        <f>D272-AG272</f>
        <v>2</v>
      </c>
    </row>
    <row r="273" spans="1:34" ht="35.25" hidden="1" x14ac:dyDescent="0.5">
      <c r="A273" s="127">
        <v>287</v>
      </c>
      <c r="B273" s="98" t="s">
        <v>569</v>
      </c>
      <c r="C273" s="43" t="s">
        <v>570</v>
      </c>
      <c r="D273" s="44">
        <v>4</v>
      </c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2">
        <f t="shared" si="4"/>
        <v>0</v>
      </c>
      <c r="AH273" s="173">
        <f>D273-AG273</f>
        <v>4</v>
      </c>
    </row>
    <row r="274" spans="1:34" ht="35.25" hidden="1" x14ac:dyDescent="0.5">
      <c r="A274" s="127">
        <v>288</v>
      </c>
      <c r="B274" s="98" t="s">
        <v>571</v>
      </c>
      <c r="C274" s="43" t="s">
        <v>572</v>
      </c>
      <c r="D274" s="44">
        <v>4</v>
      </c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2">
        <f t="shared" si="4"/>
        <v>0</v>
      </c>
      <c r="AH274" s="173">
        <f>D274-AG274</f>
        <v>4</v>
      </c>
    </row>
    <row r="275" spans="1:34" ht="35.25" hidden="1" x14ac:dyDescent="0.5">
      <c r="A275" s="127">
        <v>289</v>
      </c>
      <c r="B275" s="98" t="s">
        <v>573</v>
      </c>
      <c r="C275" s="43" t="s">
        <v>574</v>
      </c>
      <c r="D275" s="44">
        <v>4</v>
      </c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2">
        <f t="shared" si="4"/>
        <v>0</v>
      </c>
      <c r="AH275" s="173">
        <f>D275-AG275</f>
        <v>4</v>
      </c>
    </row>
    <row r="276" spans="1:34" ht="35.25" hidden="1" x14ac:dyDescent="0.5">
      <c r="A276" s="127">
        <v>290</v>
      </c>
      <c r="B276" s="98" t="s">
        <v>575</v>
      </c>
      <c r="C276" s="43" t="s">
        <v>576</v>
      </c>
      <c r="D276" s="44">
        <v>4</v>
      </c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2">
        <f t="shared" si="4"/>
        <v>0</v>
      </c>
      <c r="AH276" s="173">
        <f>D276-AG276</f>
        <v>4</v>
      </c>
    </row>
    <row r="277" spans="1:34" ht="35.25" hidden="1" x14ac:dyDescent="0.5">
      <c r="A277" s="127">
        <v>291</v>
      </c>
      <c r="B277" s="98" t="s">
        <v>577</v>
      </c>
      <c r="C277" s="43" t="s">
        <v>578</v>
      </c>
      <c r="D277" s="44">
        <v>6</v>
      </c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2">
        <f t="shared" si="4"/>
        <v>0</v>
      </c>
      <c r="AH277" s="173">
        <f>D277-AG277</f>
        <v>6</v>
      </c>
    </row>
    <row r="278" spans="1:34" ht="35.25" hidden="1" x14ac:dyDescent="0.5">
      <c r="A278" s="127">
        <v>292</v>
      </c>
      <c r="B278" s="98" t="s">
        <v>579</v>
      </c>
      <c r="C278" s="43" t="s">
        <v>580</v>
      </c>
      <c r="D278" s="44">
        <v>8</v>
      </c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2">
        <f t="shared" si="4"/>
        <v>0</v>
      </c>
      <c r="AH278" s="173">
        <f>D278-AG278</f>
        <v>8</v>
      </c>
    </row>
    <row r="279" spans="1:34" ht="35.25" hidden="1" x14ac:dyDescent="0.5">
      <c r="A279" s="127">
        <v>293</v>
      </c>
      <c r="B279" s="98" t="s">
        <v>581</v>
      </c>
      <c r="C279" s="43" t="s">
        <v>582</v>
      </c>
      <c r="D279" s="44">
        <v>6</v>
      </c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2">
        <f t="shared" si="4"/>
        <v>0</v>
      </c>
      <c r="AH279" s="173">
        <f>D279-AG279</f>
        <v>6</v>
      </c>
    </row>
    <row r="280" spans="1:34" ht="35.25" hidden="1" x14ac:dyDescent="0.5">
      <c r="A280" s="127">
        <v>294</v>
      </c>
      <c r="B280" s="98" t="s">
        <v>583</v>
      </c>
      <c r="C280" s="43" t="s">
        <v>584</v>
      </c>
      <c r="D280" s="44">
        <v>6</v>
      </c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2">
        <f t="shared" si="4"/>
        <v>0</v>
      </c>
      <c r="AH280" s="173">
        <f>D280-AG280</f>
        <v>6</v>
      </c>
    </row>
    <row r="281" spans="1:34" ht="35.25" hidden="1" x14ac:dyDescent="0.5">
      <c r="A281" s="127">
        <v>295</v>
      </c>
      <c r="B281" s="98" t="s">
        <v>585</v>
      </c>
      <c r="C281" s="43" t="s">
        <v>586</v>
      </c>
      <c r="D281" s="44">
        <v>36</v>
      </c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2">
        <f t="shared" si="4"/>
        <v>0</v>
      </c>
      <c r="AH281" s="173">
        <f>D281-AG281</f>
        <v>36</v>
      </c>
    </row>
    <row r="282" spans="1:34" ht="35.25" hidden="1" x14ac:dyDescent="0.5">
      <c r="A282" s="127">
        <v>296</v>
      </c>
      <c r="B282" s="98" t="s">
        <v>587</v>
      </c>
      <c r="C282" s="43" t="s">
        <v>588</v>
      </c>
      <c r="D282" s="44">
        <v>6</v>
      </c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2">
        <f t="shared" si="4"/>
        <v>0</v>
      </c>
      <c r="AH282" s="173">
        <f>D282-AG282</f>
        <v>6</v>
      </c>
    </row>
    <row r="283" spans="1:34" ht="35.25" hidden="1" x14ac:dyDescent="0.5">
      <c r="A283" s="127">
        <v>297</v>
      </c>
      <c r="B283" s="98" t="s">
        <v>589</v>
      </c>
      <c r="C283" s="43" t="s">
        <v>590</v>
      </c>
      <c r="D283" s="44">
        <v>4</v>
      </c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2">
        <f t="shared" si="4"/>
        <v>0</v>
      </c>
      <c r="AH283" s="173">
        <f>D283-AG283</f>
        <v>4</v>
      </c>
    </row>
    <row r="284" spans="1:34" ht="35.25" hidden="1" x14ac:dyDescent="0.5">
      <c r="A284" s="127">
        <v>298</v>
      </c>
      <c r="B284" s="98" t="s">
        <v>591</v>
      </c>
      <c r="C284" s="43" t="s">
        <v>592</v>
      </c>
      <c r="D284" s="44">
        <v>4</v>
      </c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2">
        <f t="shared" si="4"/>
        <v>0</v>
      </c>
      <c r="AH284" s="173">
        <f>D284-AG284</f>
        <v>4</v>
      </c>
    </row>
    <row r="285" spans="1:34" ht="35.25" hidden="1" x14ac:dyDescent="0.5">
      <c r="A285" s="127">
        <v>299</v>
      </c>
      <c r="B285" s="98" t="s">
        <v>593</v>
      </c>
      <c r="C285" s="43" t="s">
        <v>594</v>
      </c>
      <c r="D285" s="44">
        <v>6</v>
      </c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2">
        <f t="shared" si="4"/>
        <v>0</v>
      </c>
      <c r="AH285" s="173">
        <f>D285-AG285</f>
        <v>6</v>
      </c>
    </row>
    <row r="286" spans="1:34" ht="35.25" hidden="1" x14ac:dyDescent="0.5">
      <c r="A286" s="127">
        <v>300</v>
      </c>
      <c r="B286" s="98" t="s">
        <v>595</v>
      </c>
      <c r="C286" s="43" t="s">
        <v>596</v>
      </c>
      <c r="D286" s="44">
        <v>6</v>
      </c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  <c r="AG286" s="172">
        <f t="shared" si="4"/>
        <v>0</v>
      </c>
      <c r="AH286" s="173">
        <f>D286-AG286</f>
        <v>6</v>
      </c>
    </row>
    <row r="287" spans="1:34" ht="35.25" hidden="1" x14ac:dyDescent="0.5">
      <c r="A287" s="127">
        <v>301</v>
      </c>
      <c r="B287" s="98" t="s">
        <v>597</v>
      </c>
      <c r="C287" s="43" t="s">
        <v>598</v>
      </c>
      <c r="D287" s="44">
        <v>4</v>
      </c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2">
        <f t="shared" si="4"/>
        <v>0</v>
      </c>
      <c r="AH287" s="173">
        <f>D287-AG287</f>
        <v>4</v>
      </c>
    </row>
    <row r="288" spans="1:34" ht="35.25" hidden="1" x14ac:dyDescent="0.5">
      <c r="A288" s="127">
        <v>302</v>
      </c>
      <c r="B288" s="98" t="s">
        <v>599</v>
      </c>
      <c r="C288" s="43" t="s">
        <v>600</v>
      </c>
      <c r="D288" s="44">
        <v>33</v>
      </c>
      <c r="E288" s="171"/>
      <c r="F288" s="171"/>
      <c r="G288" s="171"/>
      <c r="H288" s="171"/>
      <c r="I288" s="171"/>
      <c r="J288" s="171"/>
      <c r="K288" s="171"/>
      <c r="L288" s="171"/>
      <c r="M288" s="171"/>
      <c r="N288" s="171">
        <v>10</v>
      </c>
      <c r="O288" s="171"/>
      <c r="P288" s="171"/>
      <c r="Q288" s="171"/>
      <c r="R288" s="171"/>
      <c r="S288" s="171"/>
      <c r="T288" s="171"/>
      <c r="U288" s="171"/>
      <c r="V288" s="171"/>
      <c r="W288" s="171">
        <v>3</v>
      </c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2">
        <f t="shared" si="4"/>
        <v>13</v>
      </c>
      <c r="AH288" s="173">
        <f>D288-AG288</f>
        <v>20</v>
      </c>
    </row>
    <row r="289" spans="1:34" ht="35.25" hidden="1" x14ac:dyDescent="0.5">
      <c r="A289" s="127">
        <v>303</v>
      </c>
      <c r="B289" s="98" t="s">
        <v>603</v>
      </c>
      <c r="C289" s="43" t="s">
        <v>604</v>
      </c>
      <c r="D289" s="44">
        <v>30</v>
      </c>
      <c r="E289" s="171"/>
      <c r="F289" s="171"/>
      <c r="G289" s="171"/>
      <c r="H289" s="171"/>
      <c r="I289" s="171"/>
      <c r="J289" s="171"/>
      <c r="K289" s="171"/>
      <c r="L289" s="171"/>
      <c r="M289" s="171"/>
      <c r="N289" s="171">
        <v>10</v>
      </c>
      <c r="O289" s="171"/>
      <c r="P289" s="171"/>
      <c r="Q289" s="171"/>
      <c r="R289" s="171"/>
      <c r="S289" s="171"/>
      <c r="T289" s="171"/>
      <c r="U289" s="171"/>
      <c r="V289" s="171"/>
      <c r="W289" s="171">
        <v>9</v>
      </c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2">
        <f t="shared" si="4"/>
        <v>19</v>
      </c>
      <c r="AH289" s="173">
        <f>D289-AG289</f>
        <v>11</v>
      </c>
    </row>
    <row r="290" spans="1:34" ht="35.25" hidden="1" x14ac:dyDescent="0.5">
      <c r="A290" s="127">
        <v>304</v>
      </c>
      <c r="B290" s="98" t="s">
        <v>605</v>
      </c>
      <c r="C290" s="43" t="s">
        <v>606</v>
      </c>
      <c r="D290" s="44">
        <v>6</v>
      </c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2">
        <f t="shared" si="4"/>
        <v>0</v>
      </c>
      <c r="AH290" s="173">
        <f>D290-AG290</f>
        <v>6</v>
      </c>
    </row>
    <row r="291" spans="1:34" ht="35.25" hidden="1" x14ac:dyDescent="0.5">
      <c r="A291" s="127">
        <v>305</v>
      </c>
      <c r="B291" s="98" t="s">
        <v>607</v>
      </c>
      <c r="C291" s="43" t="s">
        <v>608</v>
      </c>
      <c r="D291" s="44">
        <v>6</v>
      </c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2">
        <f t="shared" si="4"/>
        <v>0</v>
      </c>
      <c r="AH291" s="173">
        <f>D291-AG291</f>
        <v>6</v>
      </c>
    </row>
    <row r="292" spans="1:34" ht="35.25" hidden="1" x14ac:dyDescent="0.5">
      <c r="A292" s="127">
        <v>306</v>
      </c>
      <c r="B292" s="98" t="s">
        <v>609</v>
      </c>
      <c r="C292" s="43"/>
      <c r="D292" s="44">
        <v>6</v>
      </c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2">
        <f t="shared" si="4"/>
        <v>0</v>
      </c>
      <c r="AH292" s="173">
        <f>D292-AG292</f>
        <v>6</v>
      </c>
    </row>
    <row r="293" spans="1:34" ht="35.25" hidden="1" x14ac:dyDescent="0.5">
      <c r="A293" s="127">
        <v>307</v>
      </c>
      <c r="B293" s="98" t="s">
        <v>611</v>
      </c>
      <c r="C293" s="43" t="s">
        <v>612</v>
      </c>
      <c r="D293" s="44">
        <v>123</v>
      </c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>
        <v>15</v>
      </c>
      <c r="P293" s="171"/>
      <c r="Q293" s="171">
        <v>30</v>
      </c>
      <c r="R293" s="171">
        <v>30</v>
      </c>
      <c r="S293" s="171"/>
      <c r="T293" s="171"/>
      <c r="U293" s="171"/>
      <c r="V293" s="171"/>
      <c r="W293" s="171">
        <v>14</v>
      </c>
      <c r="X293" s="171">
        <f>21+1+1+1</f>
        <v>24</v>
      </c>
      <c r="Y293" s="171"/>
      <c r="Z293" s="171"/>
      <c r="AA293" s="171"/>
      <c r="AB293" s="171"/>
      <c r="AC293" s="171"/>
      <c r="AD293" s="171"/>
      <c r="AE293" s="171"/>
      <c r="AF293" s="171"/>
      <c r="AG293" s="172">
        <f t="shared" si="4"/>
        <v>113</v>
      </c>
      <c r="AH293" s="173">
        <f>D293-AG293</f>
        <v>10</v>
      </c>
    </row>
    <row r="294" spans="1:34" ht="35.25" hidden="1" x14ac:dyDescent="0.5">
      <c r="A294" s="127">
        <v>308</v>
      </c>
      <c r="B294" s="98" t="s">
        <v>613</v>
      </c>
      <c r="C294" s="43" t="s">
        <v>614</v>
      </c>
      <c r="D294" s="44">
        <v>120</v>
      </c>
      <c r="E294" s="171"/>
      <c r="F294" s="171"/>
      <c r="G294" s="171"/>
      <c r="H294" s="171"/>
      <c r="I294" s="171"/>
      <c r="J294" s="171"/>
      <c r="K294" s="171"/>
      <c r="L294" s="171"/>
      <c r="M294" s="171">
        <v>3</v>
      </c>
      <c r="N294" s="171">
        <v>11</v>
      </c>
      <c r="O294" s="171"/>
      <c r="P294" s="171"/>
      <c r="Q294" s="171">
        <v>30</v>
      </c>
      <c r="R294" s="171">
        <v>10</v>
      </c>
      <c r="S294" s="171"/>
      <c r="T294" s="171"/>
      <c r="U294" s="171"/>
      <c r="V294" s="171"/>
      <c r="W294" s="171">
        <v>30</v>
      </c>
      <c r="X294" s="171"/>
      <c r="Y294" s="171"/>
      <c r="Z294" s="171"/>
      <c r="AA294" s="171"/>
      <c r="AB294" s="171"/>
      <c r="AC294" s="171"/>
      <c r="AD294" s="171">
        <f>1+1</f>
        <v>2</v>
      </c>
      <c r="AE294" s="171"/>
      <c r="AF294" s="171"/>
      <c r="AG294" s="172">
        <f t="shared" si="4"/>
        <v>86</v>
      </c>
      <c r="AH294" s="173">
        <f>D294-AG294</f>
        <v>34</v>
      </c>
    </row>
    <row r="295" spans="1:34" ht="35.25" hidden="1" x14ac:dyDescent="0.5">
      <c r="A295" s="127">
        <v>309</v>
      </c>
      <c r="B295" s="98" t="s">
        <v>615</v>
      </c>
      <c r="C295" s="43" t="s">
        <v>616</v>
      </c>
      <c r="D295" s="44">
        <v>96</v>
      </c>
      <c r="E295" s="171"/>
      <c r="F295" s="171"/>
      <c r="G295" s="171">
        <v>6</v>
      </c>
      <c r="H295" s="171"/>
      <c r="I295" s="171"/>
      <c r="J295" s="171"/>
      <c r="K295" s="171"/>
      <c r="L295" s="171"/>
      <c r="M295" s="171"/>
      <c r="N295" s="171">
        <v>45</v>
      </c>
      <c r="O295" s="171">
        <v>12</v>
      </c>
      <c r="P295" s="171"/>
      <c r="Q295" s="171">
        <v>24</v>
      </c>
      <c r="R295" s="171"/>
      <c r="S295" s="171">
        <v>5</v>
      </c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2">
        <f t="shared" si="4"/>
        <v>92</v>
      </c>
      <c r="AH295" s="173">
        <f>D295-AG295</f>
        <v>4</v>
      </c>
    </row>
    <row r="296" spans="1:34" ht="35.25" hidden="1" x14ac:dyDescent="0.5">
      <c r="A296" s="127">
        <v>310</v>
      </c>
      <c r="B296" s="98" t="s">
        <v>617</v>
      </c>
      <c r="C296" s="43" t="s">
        <v>618</v>
      </c>
      <c r="D296" s="44">
        <v>16</v>
      </c>
      <c r="E296" s="171"/>
      <c r="F296" s="171"/>
      <c r="G296" s="171"/>
      <c r="H296" s="171"/>
      <c r="I296" s="171"/>
      <c r="J296" s="171"/>
      <c r="K296" s="171"/>
      <c r="L296" s="171"/>
      <c r="M296" s="171"/>
      <c r="N296" s="171">
        <v>12</v>
      </c>
      <c r="O296" s="171">
        <v>8</v>
      </c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2">
        <f t="shared" si="4"/>
        <v>20</v>
      </c>
      <c r="AH296" s="173">
        <f>D296-AG296</f>
        <v>-4</v>
      </c>
    </row>
    <row r="297" spans="1:34" ht="35.25" hidden="1" x14ac:dyDescent="0.5">
      <c r="A297" s="127">
        <v>311</v>
      </c>
      <c r="B297" s="98" t="s">
        <v>619</v>
      </c>
      <c r="C297" s="43" t="s">
        <v>620</v>
      </c>
      <c r="D297" s="44">
        <v>14</v>
      </c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>
        <v>7</v>
      </c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>
        <v>2</v>
      </c>
      <c r="AE297" s="171"/>
      <c r="AF297" s="171"/>
      <c r="AG297" s="172">
        <f t="shared" si="4"/>
        <v>9</v>
      </c>
      <c r="AH297" s="173">
        <f>D297-AG297</f>
        <v>5</v>
      </c>
    </row>
    <row r="298" spans="1:34" ht="35.25" hidden="1" x14ac:dyDescent="0.5">
      <c r="A298" s="127">
        <v>312</v>
      </c>
      <c r="B298" s="98" t="s">
        <v>621</v>
      </c>
      <c r="C298" s="43" t="s">
        <v>622</v>
      </c>
      <c r="D298" s="44">
        <v>70</v>
      </c>
      <c r="E298" s="171"/>
      <c r="F298" s="171"/>
      <c r="G298" s="171"/>
      <c r="H298" s="171"/>
      <c r="I298" s="171"/>
      <c r="J298" s="171"/>
      <c r="K298" s="171"/>
      <c r="L298" s="171"/>
      <c r="M298" s="171"/>
      <c r="N298" s="171">
        <f>2+2</f>
        <v>4</v>
      </c>
      <c r="O298" s="171"/>
      <c r="P298" s="171"/>
      <c r="Q298" s="171">
        <v>5</v>
      </c>
      <c r="R298" s="171">
        <v>4</v>
      </c>
      <c r="S298" s="171"/>
      <c r="T298" s="171">
        <v>4</v>
      </c>
      <c r="U298" s="171"/>
      <c r="V298" s="171"/>
      <c r="W298" s="171">
        <f>8+4</f>
        <v>12</v>
      </c>
      <c r="X298" s="171">
        <v>9</v>
      </c>
      <c r="Y298" s="171"/>
      <c r="Z298" s="171"/>
      <c r="AA298" s="171"/>
      <c r="AB298" s="171"/>
      <c r="AC298" s="171"/>
      <c r="AD298" s="171"/>
      <c r="AE298" s="171"/>
      <c r="AF298" s="171"/>
      <c r="AG298" s="172">
        <f t="shared" si="4"/>
        <v>38</v>
      </c>
      <c r="AH298" s="173">
        <f>D298-AG298</f>
        <v>32</v>
      </c>
    </row>
    <row r="299" spans="1:34" ht="35.25" hidden="1" x14ac:dyDescent="0.5">
      <c r="A299" s="127">
        <v>313</v>
      </c>
      <c r="B299" s="98" t="s">
        <v>623</v>
      </c>
      <c r="C299" s="43" t="s">
        <v>624</v>
      </c>
      <c r="D299" s="44">
        <v>2</v>
      </c>
      <c r="E299" s="171"/>
      <c r="F299" s="171"/>
      <c r="G299" s="171">
        <v>1</v>
      </c>
      <c r="H299" s="171"/>
      <c r="I299" s="171"/>
      <c r="J299" s="171"/>
      <c r="K299" s="171"/>
      <c r="L299" s="171"/>
      <c r="M299" s="171">
        <v>3</v>
      </c>
      <c r="N299" s="171"/>
      <c r="O299" s="171">
        <v>1</v>
      </c>
      <c r="P299" s="171"/>
      <c r="Q299" s="171"/>
      <c r="R299" s="171">
        <v>1</v>
      </c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2">
        <f t="shared" si="4"/>
        <v>6</v>
      </c>
      <c r="AH299" s="173">
        <f>D299-AG299</f>
        <v>-4</v>
      </c>
    </row>
    <row r="300" spans="1:34" ht="35.25" hidden="1" x14ac:dyDescent="0.5">
      <c r="A300" s="127">
        <v>314</v>
      </c>
      <c r="B300" s="98" t="s">
        <v>625</v>
      </c>
      <c r="C300" s="43" t="s">
        <v>626</v>
      </c>
      <c r="D300" s="44">
        <v>32</v>
      </c>
      <c r="E300" s="171"/>
      <c r="F300" s="171">
        <v>2</v>
      </c>
      <c r="G300" s="171"/>
      <c r="H300" s="171"/>
      <c r="I300" s="171"/>
      <c r="J300" s="171">
        <v>8</v>
      </c>
      <c r="K300" s="171"/>
      <c r="L300" s="171"/>
      <c r="M300" s="171">
        <v>3</v>
      </c>
      <c r="N300" s="171"/>
      <c r="O300" s="171">
        <v>1</v>
      </c>
      <c r="P300" s="171"/>
      <c r="Q300" s="171"/>
      <c r="R300" s="171">
        <v>1</v>
      </c>
      <c r="S300" s="171"/>
      <c r="T300" s="171"/>
      <c r="U300" s="171"/>
      <c r="V300" s="171"/>
      <c r="W300" s="171">
        <v>2</v>
      </c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2">
        <f t="shared" ref="AG300:AG312" si="5">SUM(F300:AF300)</f>
        <v>17</v>
      </c>
      <c r="AH300" s="173">
        <f>D300-AG300</f>
        <v>15</v>
      </c>
    </row>
    <row r="301" spans="1:34" ht="35.25" hidden="1" x14ac:dyDescent="0.5">
      <c r="A301" s="127">
        <v>315</v>
      </c>
      <c r="B301" s="98" t="s">
        <v>627</v>
      </c>
      <c r="C301" s="43" t="s">
        <v>1134</v>
      </c>
      <c r="D301" s="44">
        <v>425</v>
      </c>
      <c r="E301" s="171">
        <v>12</v>
      </c>
      <c r="F301" s="171">
        <v>5</v>
      </c>
      <c r="G301" s="171">
        <v>5</v>
      </c>
      <c r="H301" s="171"/>
      <c r="I301" s="171">
        <v>5</v>
      </c>
      <c r="J301" s="171">
        <f>17+5</f>
        <v>22</v>
      </c>
      <c r="K301" s="171"/>
      <c r="L301" s="171">
        <v>1</v>
      </c>
      <c r="M301" s="171">
        <f>5+5</f>
        <v>10</v>
      </c>
      <c r="N301" s="171">
        <v>5</v>
      </c>
      <c r="O301" s="171"/>
      <c r="P301" s="171"/>
      <c r="Q301" s="171">
        <v>1</v>
      </c>
      <c r="R301" s="171">
        <v>6</v>
      </c>
      <c r="S301" s="171">
        <v>2</v>
      </c>
      <c r="T301" s="171"/>
      <c r="U301" s="171"/>
      <c r="V301" s="171"/>
      <c r="W301" s="171">
        <f>9+3+5</f>
        <v>17</v>
      </c>
      <c r="X301" s="171">
        <v>15</v>
      </c>
      <c r="Y301" s="171"/>
      <c r="Z301" s="171"/>
      <c r="AA301" s="171"/>
      <c r="AB301" s="171"/>
      <c r="AC301" s="171"/>
      <c r="AD301" s="171">
        <f>1+1</f>
        <v>2</v>
      </c>
      <c r="AE301" s="171">
        <v>1</v>
      </c>
      <c r="AF301" s="171">
        <v>46</v>
      </c>
      <c r="AG301" s="172">
        <f t="shared" si="5"/>
        <v>143</v>
      </c>
      <c r="AH301" s="173">
        <f>D301-AG301</f>
        <v>282</v>
      </c>
    </row>
    <row r="302" spans="1:34" ht="35.25" hidden="1" x14ac:dyDescent="0.5">
      <c r="A302" s="127">
        <v>316</v>
      </c>
      <c r="B302" s="98" t="s">
        <v>629</v>
      </c>
      <c r="C302" s="43" t="s">
        <v>630</v>
      </c>
      <c r="D302" s="44">
        <v>160</v>
      </c>
      <c r="E302" s="171"/>
      <c r="F302" s="171"/>
      <c r="G302" s="171">
        <v>12</v>
      </c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>
        <v>16</v>
      </c>
      <c r="S302" s="171"/>
      <c r="T302" s="171"/>
      <c r="U302" s="171"/>
      <c r="V302" s="171"/>
      <c r="W302" s="171">
        <v>12</v>
      </c>
      <c r="X302" s="171">
        <f>17+1+1</f>
        <v>19</v>
      </c>
      <c r="Y302" s="171"/>
      <c r="Z302" s="171"/>
      <c r="AA302" s="171"/>
      <c r="AB302" s="171"/>
      <c r="AC302" s="171"/>
      <c r="AD302" s="171"/>
      <c r="AE302" s="171"/>
      <c r="AF302" s="171">
        <v>1</v>
      </c>
      <c r="AG302" s="172">
        <f t="shared" si="5"/>
        <v>60</v>
      </c>
      <c r="AH302" s="173">
        <f>D302-AG302</f>
        <v>100</v>
      </c>
    </row>
    <row r="303" spans="1:34" ht="35.25" hidden="1" x14ac:dyDescent="0.5">
      <c r="A303" s="127">
        <v>317</v>
      </c>
      <c r="B303" s="98" t="s">
        <v>631</v>
      </c>
      <c r="C303" s="43" t="s">
        <v>632</v>
      </c>
      <c r="D303" s="44">
        <v>4</v>
      </c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2">
        <f t="shared" si="5"/>
        <v>0</v>
      </c>
      <c r="AH303" s="173">
        <f>D303-AG303</f>
        <v>4</v>
      </c>
    </row>
    <row r="304" spans="1:34" ht="35.25" hidden="1" x14ac:dyDescent="0.5">
      <c r="A304" s="127">
        <v>318</v>
      </c>
      <c r="B304" s="98" t="s">
        <v>633</v>
      </c>
      <c r="C304" s="43" t="s">
        <v>634</v>
      </c>
      <c r="D304" s="44">
        <v>4</v>
      </c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2">
        <f t="shared" si="5"/>
        <v>0</v>
      </c>
      <c r="AH304" s="173">
        <f>D304-AG304</f>
        <v>4</v>
      </c>
    </row>
    <row r="305" spans="1:34" ht="35.25" hidden="1" x14ac:dyDescent="0.5">
      <c r="A305" s="127">
        <v>319</v>
      </c>
      <c r="B305" s="98" t="s">
        <v>635</v>
      </c>
      <c r="C305" s="43" t="s">
        <v>1096</v>
      </c>
      <c r="D305" s="44">
        <v>476</v>
      </c>
      <c r="E305" s="171"/>
      <c r="F305" s="171"/>
      <c r="G305" s="171">
        <v>12</v>
      </c>
      <c r="H305" s="171"/>
      <c r="I305" s="171"/>
      <c r="J305" s="171">
        <v>12</v>
      </c>
      <c r="K305" s="171"/>
      <c r="L305" s="171"/>
      <c r="M305" s="171">
        <v>20</v>
      </c>
      <c r="N305" s="171">
        <f>113+16</f>
        <v>129</v>
      </c>
      <c r="O305" s="171"/>
      <c r="P305" s="171"/>
      <c r="Q305" s="171">
        <v>15</v>
      </c>
      <c r="R305" s="171">
        <v>13</v>
      </c>
      <c r="S305" s="171"/>
      <c r="T305" s="171"/>
      <c r="U305" s="171"/>
      <c r="V305" s="171"/>
      <c r="W305" s="171">
        <v>32</v>
      </c>
      <c r="X305" s="171">
        <f>72</f>
        <v>72</v>
      </c>
      <c r="Y305" s="171"/>
      <c r="Z305" s="171"/>
      <c r="AA305" s="171"/>
      <c r="AB305" s="171"/>
      <c r="AC305" s="171">
        <v>40</v>
      </c>
      <c r="AD305" s="171"/>
      <c r="AE305" s="171"/>
      <c r="AF305" s="171">
        <v>6</v>
      </c>
      <c r="AG305" s="172">
        <f t="shared" si="5"/>
        <v>351</v>
      </c>
      <c r="AH305" s="173">
        <f>D305-AG305</f>
        <v>125</v>
      </c>
    </row>
    <row r="306" spans="1:34" ht="35.25" hidden="1" x14ac:dyDescent="0.5">
      <c r="A306" s="127">
        <v>320</v>
      </c>
      <c r="B306" s="98" t="s">
        <v>637</v>
      </c>
      <c r="C306" s="43" t="s">
        <v>638</v>
      </c>
      <c r="D306" s="44">
        <v>134</v>
      </c>
      <c r="E306" s="171"/>
      <c r="F306" s="171"/>
      <c r="G306" s="171"/>
      <c r="H306" s="171"/>
      <c r="I306" s="171"/>
      <c r="J306" s="171">
        <f>12+6</f>
        <v>18</v>
      </c>
      <c r="K306" s="171"/>
      <c r="L306" s="171"/>
      <c r="M306" s="171">
        <v>15</v>
      </c>
      <c r="N306" s="171">
        <v>24</v>
      </c>
      <c r="O306" s="171"/>
      <c r="P306" s="171"/>
      <c r="Q306" s="171"/>
      <c r="R306" s="171"/>
      <c r="S306" s="171"/>
      <c r="T306" s="171"/>
      <c r="U306" s="171"/>
      <c r="V306" s="171"/>
      <c r="W306" s="171">
        <v>26</v>
      </c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2">
        <f t="shared" si="5"/>
        <v>83</v>
      </c>
      <c r="AH306" s="173">
        <f>D306-AG306</f>
        <v>51</v>
      </c>
    </row>
    <row r="307" spans="1:34" ht="35.25" hidden="1" x14ac:dyDescent="0.5">
      <c r="A307" s="127">
        <v>321</v>
      </c>
      <c r="B307" s="98" t="s">
        <v>639</v>
      </c>
      <c r="C307" s="43" t="s">
        <v>640</v>
      </c>
      <c r="D307" s="44">
        <v>176</v>
      </c>
      <c r="E307" s="171"/>
      <c r="F307" s="171"/>
      <c r="G307" s="171"/>
      <c r="H307" s="171"/>
      <c r="I307" s="171"/>
      <c r="J307" s="171"/>
      <c r="K307" s="171"/>
      <c r="L307" s="171">
        <v>1</v>
      </c>
      <c r="M307" s="171">
        <v>20</v>
      </c>
      <c r="N307" s="171">
        <v>6</v>
      </c>
      <c r="O307" s="171"/>
      <c r="P307" s="171"/>
      <c r="Q307" s="171">
        <v>10</v>
      </c>
      <c r="R307" s="171"/>
      <c r="S307" s="171"/>
      <c r="T307" s="171"/>
      <c r="U307" s="171"/>
      <c r="V307" s="171"/>
      <c r="W307" s="171">
        <v>30</v>
      </c>
      <c r="X307" s="171">
        <f>16+1</f>
        <v>17</v>
      </c>
      <c r="Y307" s="171"/>
      <c r="Z307" s="171"/>
      <c r="AA307" s="171"/>
      <c r="AB307" s="171"/>
      <c r="AC307" s="171"/>
      <c r="AD307" s="171">
        <f>1+1</f>
        <v>2</v>
      </c>
      <c r="AE307" s="171"/>
      <c r="AF307" s="171"/>
      <c r="AG307" s="172">
        <f t="shared" si="5"/>
        <v>86</v>
      </c>
      <c r="AH307" s="173">
        <f>D307-AG307</f>
        <v>90</v>
      </c>
    </row>
    <row r="308" spans="1:34" ht="35.25" hidden="1" x14ac:dyDescent="0.5">
      <c r="A308" s="127">
        <v>322</v>
      </c>
      <c r="B308" s="98" t="s">
        <v>641</v>
      </c>
      <c r="C308" s="43" t="s">
        <v>642</v>
      </c>
      <c r="D308" s="44">
        <v>92</v>
      </c>
      <c r="E308" s="171"/>
      <c r="F308" s="171">
        <v>1</v>
      </c>
      <c r="G308" s="171"/>
      <c r="H308" s="171"/>
      <c r="I308" s="171"/>
      <c r="J308" s="171">
        <f>12+4</f>
        <v>16</v>
      </c>
      <c r="K308" s="171"/>
      <c r="L308" s="171">
        <v>1</v>
      </c>
      <c r="M308" s="171">
        <v>10</v>
      </c>
      <c r="N308" s="171">
        <v>6</v>
      </c>
      <c r="O308" s="171"/>
      <c r="P308" s="171"/>
      <c r="Q308" s="171"/>
      <c r="R308" s="171"/>
      <c r="S308" s="171"/>
      <c r="T308" s="171"/>
      <c r="U308" s="171"/>
      <c r="V308" s="171"/>
      <c r="W308" s="171">
        <v>10</v>
      </c>
      <c r="X308" s="171">
        <f>13</f>
        <v>13</v>
      </c>
      <c r="Y308" s="171"/>
      <c r="Z308" s="171"/>
      <c r="AA308" s="171"/>
      <c r="AB308" s="171"/>
      <c r="AC308" s="171"/>
      <c r="AD308" s="171">
        <v>2</v>
      </c>
      <c r="AE308" s="171"/>
      <c r="AF308" s="171"/>
      <c r="AG308" s="172">
        <f t="shared" si="5"/>
        <v>59</v>
      </c>
      <c r="AH308" s="173">
        <f>D308-AG308</f>
        <v>33</v>
      </c>
    </row>
    <row r="309" spans="1:34" ht="35.25" hidden="1" x14ac:dyDescent="0.5">
      <c r="A309" s="127">
        <v>323</v>
      </c>
      <c r="B309" s="98" t="s">
        <v>643</v>
      </c>
      <c r="C309" s="43" t="s">
        <v>644</v>
      </c>
      <c r="D309" s="44">
        <v>200</v>
      </c>
      <c r="E309" s="171"/>
      <c r="F309" s="171"/>
      <c r="G309" s="171"/>
      <c r="H309" s="171"/>
      <c r="I309" s="171"/>
      <c r="J309" s="171">
        <v>15</v>
      </c>
      <c r="K309" s="171"/>
      <c r="L309" s="171"/>
      <c r="M309" s="171"/>
      <c r="N309" s="171">
        <v>6</v>
      </c>
      <c r="O309" s="171"/>
      <c r="P309" s="171"/>
      <c r="Q309" s="171"/>
      <c r="R309" s="171"/>
      <c r="S309" s="171"/>
      <c r="T309" s="171"/>
      <c r="U309" s="171"/>
      <c r="V309" s="171"/>
      <c r="W309" s="171">
        <v>16</v>
      </c>
      <c r="X309" s="171">
        <f>50+15</f>
        <v>65</v>
      </c>
      <c r="Y309" s="171"/>
      <c r="Z309" s="171"/>
      <c r="AA309" s="171"/>
      <c r="AB309" s="171"/>
      <c r="AC309" s="171">
        <v>35</v>
      </c>
      <c r="AD309" s="171"/>
      <c r="AE309" s="171"/>
      <c r="AF309" s="171"/>
      <c r="AG309" s="172">
        <f t="shared" si="5"/>
        <v>137</v>
      </c>
      <c r="AH309" s="173">
        <f>D309-AG309</f>
        <v>63</v>
      </c>
    </row>
    <row r="310" spans="1:34" ht="35.25" hidden="1" x14ac:dyDescent="0.5">
      <c r="A310" s="127">
        <v>324</v>
      </c>
      <c r="B310" s="98" t="s">
        <v>645</v>
      </c>
      <c r="C310" s="43" t="s">
        <v>646</v>
      </c>
      <c r="D310" s="44">
        <v>200</v>
      </c>
      <c r="E310" s="171"/>
      <c r="F310" s="171"/>
      <c r="G310" s="171"/>
      <c r="H310" s="171"/>
      <c r="I310" s="171"/>
      <c r="J310" s="171">
        <v>15</v>
      </c>
      <c r="K310" s="171"/>
      <c r="L310" s="171"/>
      <c r="M310" s="171"/>
      <c r="N310" s="171">
        <v>11</v>
      </c>
      <c r="O310" s="171"/>
      <c r="P310" s="171"/>
      <c r="Q310" s="171"/>
      <c r="R310" s="171"/>
      <c r="S310" s="171"/>
      <c r="T310" s="171"/>
      <c r="U310" s="171"/>
      <c r="V310" s="171"/>
      <c r="W310" s="171">
        <v>16</v>
      </c>
      <c r="X310" s="171">
        <v>50</v>
      </c>
      <c r="Y310" s="171"/>
      <c r="Z310" s="171"/>
      <c r="AA310" s="171"/>
      <c r="AB310" s="171"/>
      <c r="AC310" s="171">
        <v>41</v>
      </c>
      <c r="AD310" s="171">
        <v>50</v>
      </c>
      <c r="AE310" s="171"/>
      <c r="AF310" s="171">
        <v>6</v>
      </c>
      <c r="AG310" s="172">
        <f t="shared" si="5"/>
        <v>189</v>
      </c>
      <c r="AH310" s="173">
        <f>D310-AG310</f>
        <v>11</v>
      </c>
    </row>
    <row r="311" spans="1:34" ht="35.25" hidden="1" x14ac:dyDescent="0.5">
      <c r="A311" s="127">
        <v>325</v>
      </c>
      <c r="B311" s="98" t="s">
        <v>647</v>
      </c>
      <c r="C311" s="43" t="s">
        <v>648</v>
      </c>
      <c r="D311" s="44">
        <v>24</v>
      </c>
      <c r="E311" s="171"/>
      <c r="F311" s="171"/>
      <c r="G311" s="171"/>
      <c r="H311" s="171"/>
      <c r="I311" s="171"/>
      <c r="J311" s="171"/>
      <c r="K311" s="171"/>
      <c r="L311" s="171"/>
      <c r="M311" s="171"/>
      <c r="N311" s="171">
        <v>7</v>
      </c>
      <c r="O311" s="171"/>
      <c r="P311" s="171"/>
      <c r="Q311" s="171"/>
      <c r="R311" s="171"/>
      <c r="S311" s="171"/>
      <c r="T311" s="171"/>
      <c r="U311" s="171"/>
      <c r="V311" s="171"/>
      <c r="W311" s="171">
        <v>6</v>
      </c>
      <c r="X311" s="171">
        <f>10</f>
        <v>10</v>
      </c>
      <c r="Y311" s="171"/>
      <c r="Z311" s="171"/>
      <c r="AA311" s="171"/>
      <c r="AB311" s="171"/>
      <c r="AC311" s="171"/>
      <c r="AD311" s="171"/>
      <c r="AE311" s="171"/>
      <c r="AF311" s="171"/>
      <c r="AG311" s="172">
        <f t="shared" si="5"/>
        <v>23</v>
      </c>
      <c r="AH311" s="173">
        <f>D311-AG311</f>
        <v>1</v>
      </c>
    </row>
    <row r="312" spans="1:34" ht="35.25" hidden="1" x14ac:dyDescent="0.5">
      <c r="A312" s="127">
        <v>326</v>
      </c>
      <c r="B312" s="98" t="s">
        <v>649</v>
      </c>
      <c r="C312" s="43" t="s">
        <v>650</v>
      </c>
      <c r="D312" s="44">
        <v>24</v>
      </c>
      <c r="E312" s="171"/>
      <c r="F312" s="171"/>
      <c r="G312" s="171"/>
      <c r="H312" s="171"/>
      <c r="I312" s="171"/>
      <c r="J312" s="171"/>
      <c r="K312" s="171"/>
      <c r="L312" s="171"/>
      <c r="M312" s="171"/>
      <c r="N312" s="171">
        <v>7</v>
      </c>
      <c r="O312" s="171"/>
      <c r="P312" s="171"/>
      <c r="Q312" s="171"/>
      <c r="R312" s="171"/>
      <c r="S312" s="171"/>
      <c r="T312" s="171"/>
      <c r="U312" s="171"/>
      <c r="V312" s="171"/>
      <c r="W312" s="171">
        <v>6</v>
      </c>
      <c r="X312" s="171">
        <f>10</f>
        <v>10</v>
      </c>
      <c r="Y312" s="171"/>
      <c r="Z312" s="171"/>
      <c r="AA312" s="171"/>
      <c r="AB312" s="171"/>
      <c r="AC312" s="171"/>
      <c r="AD312" s="171"/>
      <c r="AE312" s="171"/>
      <c r="AF312" s="171"/>
      <c r="AG312" s="172">
        <f t="shared" si="5"/>
        <v>23</v>
      </c>
      <c r="AH312" s="173">
        <f>D312-AG312</f>
        <v>1</v>
      </c>
    </row>
    <row r="313" spans="1:34" ht="35.25" hidden="1" x14ac:dyDescent="0.5">
      <c r="A313" s="127">
        <v>327</v>
      </c>
      <c r="B313" s="98" t="s">
        <v>651</v>
      </c>
      <c r="C313" s="43" t="s">
        <v>652</v>
      </c>
      <c r="D313" s="44">
        <v>24</v>
      </c>
      <c r="E313" s="171"/>
      <c r="F313" s="171"/>
      <c r="G313" s="171"/>
      <c r="H313" s="171"/>
      <c r="I313" s="171"/>
      <c r="J313" s="171"/>
      <c r="K313" s="171"/>
      <c r="L313" s="171"/>
      <c r="M313" s="171"/>
      <c r="N313" s="171">
        <v>8</v>
      </c>
      <c r="O313" s="171"/>
      <c r="P313" s="171"/>
      <c r="Q313" s="171"/>
      <c r="R313" s="171"/>
      <c r="S313" s="171"/>
      <c r="T313" s="171"/>
      <c r="U313" s="171"/>
      <c r="V313" s="171"/>
      <c r="W313" s="171">
        <v>6</v>
      </c>
      <c r="X313" s="171">
        <f>10</f>
        <v>10</v>
      </c>
      <c r="Y313" s="171"/>
      <c r="Z313" s="171"/>
      <c r="AA313" s="171"/>
      <c r="AB313" s="171"/>
      <c r="AC313" s="171"/>
      <c r="AD313" s="171"/>
      <c r="AE313" s="171"/>
      <c r="AF313" s="171"/>
      <c r="AG313" s="172">
        <v>23</v>
      </c>
      <c r="AH313" s="173">
        <f>D313-AG313</f>
        <v>1</v>
      </c>
    </row>
    <row r="314" spans="1:34" ht="35.25" hidden="1" x14ac:dyDescent="0.5">
      <c r="A314" s="127">
        <v>328</v>
      </c>
      <c r="B314" s="98" t="s">
        <v>653</v>
      </c>
      <c r="C314" s="43" t="s">
        <v>654</v>
      </c>
      <c r="D314" s="44">
        <v>450</v>
      </c>
      <c r="E314" s="171"/>
      <c r="F314" s="171"/>
      <c r="G314" s="171"/>
      <c r="H314" s="171"/>
      <c r="I314" s="171"/>
      <c r="J314" s="171"/>
      <c r="K314" s="171"/>
      <c r="L314" s="171"/>
      <c r="M314" s="171">
        <v>240</v>
      </c>
      <c r="N314" s="171">
        <f>6+6</f>
        <v>12</v>
      </c>
      <c r="O314" s="171"/>
      <c r="P314" s="171"/>
      <c r="Q314" s="171"/>
      <c r="R314" s="171">
        <v>10</v>
      </c>
      <c r="S314" s="171"/>
      <c r="T314" s="171"/>
      <c r="U314" s="171"/>
      <c r="V314" s="171"/>
      <c r="W314" s="171">
        <f>13+10</f>
        <v>23</v>
      </c>
      <c r="X314" s="171"/>
      <c r="Y314" s="171"/>
      <c r="Z314" s="171"/>
      <c r="AA314" s="171"/>
      <c r="AB314" s="171"/>
      <c r="AC314" s="171"/>
      <c r="AD314" s="171"/>
      <c r="AE314" s="171"/>
      <c r="AF314" s="171">
        <v>3</v>
      </c>
      <c r="AG314" s="172">
        <f t="shared" ref="AG314:AG345" si="6">SUM(F314:AF314)</f>
        <v>288</v>
      </c>
      <c r="AH314" s="173">
        <f>D314-AG314</f>
        <v>162</v>
      </c>
    </row>
    <row r="315" spans="1:34" ht="35.25" hidden="1" x14ac:dyDescent="0.5">
      <c r="A315" s="127">
        <v>329</v>
      </c>
      <c r="B315" s="98" t="s">
        <v>655</v>
      </c>
      <c r="C315" s="43" t="s">
        <v>656</v>
      </c>
      <c r="D315" s="44">
        <v>108</v>
      </c>
      <c r="E315" s="171"/>
      <c r="F315" s="171"/>
      <c r="G315" s="171"/>
      <c r="H315" s="171"/>
      <c r="I315" s="171"/>
      <c r="J315" s="171"/>
      <c r="K315" s="171"/>
      <c r="L315" s="171"/>
      <c r="M315" s="171"/>
      <c r="N315" s="171">
        <f>10+13</f>
        <v>23</v>
      </c>
      <c r="O315" s="171"/>
      <c r="P315" s="171"/>
      <c r="Q315" s="171"/>
      <c r="R315" s="171">
        <v>15</v>
      </c>
      <c r="S315" s="171"/>
      <c r="T315" s="171"/>
      <c r="U315" s="171"/>
      <c r="V315" s="171"/>
      <c r="W315" s="171">
        <v>9</v>
      </c>
      <c r="X315" s="171">
        <f>7+1</f>
        <v>8</v>
      </c>
      <c r="Y315" s="171"/>
      <c r="Z315" s="171"/>
      <c r="AA315" s="171"/>
      <c r="AB315" s="171"/>
      <c r="AC315" s="171"/>
      <c r="AD315" s="171"/>
      <c r="AE315" s="171"/>
      <c r="AF315" s="171">
        <v>7</v>
      </c>
      <c r="AG315" s="172">
        <f t="shared" si="6"/>
        <v>62</v>
      </c>
      <c r="AH315" s="173">
        <f>D315-AG315</f>
        <v>46</v>
      </c>
    </row>
    <row r="316" spans="1:34" ht="35.25" hidden="1" x14ac:dyDescent="0.5">
      <c r="A316" s="127">
        <v>330</v>
      </c>
      <c r="B316" s="98" t="s">
        <v>658</v>
      </c>
      <c r="C316" s="43" t="s">
        <v>659</v>
      </c>
      <c r="D316" s="44">
        <v>204</v>
      </c>
      <c r="E316" s="171"/>
      <c r="F316" s="171"/>
      <c r="G316" s="171"/>
      <c r="H316" s="171"/>
      <c r="I316" s="171"/>
      <c r="J316" s="171">
        <f>17+19</f>
        <v>36</v>
      </c>
      <c r="K316" s="171"/>
      <c r="L316" s="171"/>
      <c r="M316" s="171">
        <v>15</v>
      </c>
      <c r="N316" s="171">
        <v>6</v>
      </c>
      <c r="O316" s="171"/>
      <c r="P316" s="171"/>
      <c r="Q316" s="171"/>
      <c r="R316" s="171"/>
      <c r="S316" s="171"/>
      <c r="T316" s="171"/>
      <c r="U316" s="171"/>
      <c r="V316" s="171"/>
      <c r="W316" s="171">
        <v>50</v>
      </c>
      <c r="X316" s="171">
        <f>16+28</f>
        <v>44</v>
      </c>
      <c r="Y316" s="171"/>
      <c r="Z316" s="171"/>
      <c r="AA316" s="171"/>
      <c r="AB316" s="171"/>
      <c r="AC316" s="171">
        <v>14</v>
      </c>
      <c r="AD316" s="171"/>
      <c r="AE316" s="171">
        <f>6+6</f>
        <v>12</v>
      </c>
      <c r="AF316" s="171">
        <f>18+6</f>
        <v>24</v>
      </c>
      <c r="AG316" s="172">
        <f t="shared" si="6"/>
        <v>201</v>
      </c>
      <c r="AH316" s="173">
        <f>D316-AG316</f>
        <v>3</v>
      </c>
    </row>
    <row r="317" spans="1:34" ht="35.25" hidden="1" x14ac:dyDescent="0.5">
      <c r="A317" s="127">
        <v>331</v>
      </c>
      <c r="B317" s="98" t="s">
        <v>660</v>
      </c>
      <c r="C317" s="43" t="s">
        <v>661</v>
      </c>
      <c r="D317" s="44">
        <v>10</v>
      </c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>
        <v>2</v>
      </c>
      <c r="R317" s="171"/>
      <c r="S317" s="171"/>
      <c r="T317" s="171"/>
      <c r="U317" s="171"/>
      <c r="V317" s="171"/>
      <c r="W317" s="171">
        <v>1</v>
      </c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2">
        <f t="shared" si="6"/>
        <v>3</v>
      </c>
      <c r="AH317" s="173">
        <f>D317-AG317</f>
        <v>7</v>
      </c>
    </row>
    <row r="318" spans="1:34" ht="35.25" hidden="1" x14ac:dyDescent="0.5">
      <c r="A318" s="127">
        <v>332</v>
      </c>
      <c r="B318" s="98" t="s">
        <v>662</v>
      </c>
      <c r="C318" s="43" t="s">
        <v>1128</v>
      </c>
      <c r="D318" s="44">
        <v>75</v>
      </c>
      <c r="E318" s="171"/>
      <c r="F318" s="171">
        <v>5</v>
      </c>
      <c r="G318" s="171"/>
      <c r="H318" s="171"/>
      <c r="I318" s="171">
        <v>3</v>
      </c>
      <c r="J318" s="171"/>
      <c r="K318" s="171"/>
      <c r="L318" s="171"/>
      <c r="M318" s="171"/>
      <c r="N318" s="171">
        <f>10+3</f>
        <v>13</v>
      </c>
      <c r="O318" s="171"/>
      <c r="P318" s="171"/>
      <c r="Q318" s="171"/>
      <c r="R318" s="171">
        <f>5+3</f>
        <v>8</v>
      </c>
      <c r="S318" s="171"/>
      <c r="T318" s="171">
        <v>1</v>
      </c>
      <c r="U318" s="171"/>
      <c r="V318" s="171"/>
      <c r="W318" s="171">
        <v>2</v>
      </c>
      <c r="X318" s="171">
        <f>12+1+10</f>
        <v>23</v>
      </c>
      <c r="Y318" s="171">
        <v>1</v>
      </c>
      <c r="Z318" s="171"/>
      <c r="AA318" s="171"/>
      <c r="AB318" s="171"/>
      <c r="AC318" s="171"/>
      <c r="AD318" s="171"/>
      <c r="AE318" s="171">
        <v>1</v>
      </c>
      <c r="AF318" s="171">
        <v>4</v>
      </c>
      <c r="AG318" s="172">
        <f t="shared" si="6"/>
        <v>61</v>
      </c>
      <c r="AH318" s="173">
        <f>D318-AG318</f>
        <v>14</v>
      </c>
    </row>
    <row r="319" spans="1:34" ht="35.25" hidden="1" x14ac:dyDescent="0.5">
      <c r="A319" s="127">
        <v>333</v>
      </c>
      <c r="B319" s="98" t="s">
        <v>664</v>
      </c>
      <c r="C319" s="43" t="s">
        <v>665</v>
      </c>
      <c r="D319" s="44">
        <f>788+400</f>
        <v>1188</v>
      </c>
      <c r="E319" s="171"/>
      <c r="F319" s="171"/>
      <c r="G319" s="171">
        <v>12</v>
      </c>
      <c r="H319" s="171"/>
      <c r="I319" s="171"/>
      <c r="J319" s="171">
        <f>30+12</f>
        <v>42</v>
      </c>
      <c r="K319" s="171"/>
      <c r="L319" s="171">
        <v>10</v>
      </c>
      <c r="M319" s="171"/>
      <c r="N319" s="171">
        <v>122</v>
      </c>
      <c r="O319" s="171"/>
      <c r="P319" s="171"/>
      <c r="Q319" s="171">
        <v>72</v>
      </c>
      <c r="R319" s="171">
        <v>11</v>
      </c>
      <c r="S319" s="171"/>
      <c r="T319" s="171"/>
      <c r="U319" s="171"/>
      <c r="V319" s="171"/>
      <c r="W319" s="171">
        <f>36+25</f>
        <v>61</v>
      </c>
      <c r="X319" s="171">
        <f>38+27</f>
        <v>65</v>
      </c>
      <c r="Y319" s="171"/>
      <c r="Z319" s="171"/>
      <c r="AA319" s="171"/>
      <c r="AB319" s="171"/>
      <c r="AC319" s="171">
        <v>117</v>
      </c>
      <c r="AD319" s="171">
        <v>2</v>
      </c>
      <c r="AE319" s="171">
        <f>14</f>
        <v>14</v>
      </c>
      <c r="AF319" s="171">
        <v>4</v>
      </c>
      <c r="AG319" s="172">
        <f t="shared" si="6"/>
        <v>532</v>
      </c>
      <c r="AH319" s="173">
        <f>D319-AG319</f>
        <v>656</v>
      </c>
    </row>
    <row r="320" spans="1:34" ht="35.25" hidden="1" x14ac:dyDescent="0.5">
      <c r="A320" s="127">
        <v>334</v>
      </c>
      <c r="B320" s="98" t="s">
        <v>666</v>
      </c>
      <c r="C320" s="43" t="s">
        <v>667</v>
      </c>
      <c r="D320" s="44">
        <f>688+125</f>
        <v>813</v>
      </c>
      <c r="E320" s="171"/>
      <c r="F320" s="171"/>
      <c r="G320" s="171">
        <v>12</v>
      </c>
      <c r="H320" s="171"/>
      <c r="I320" s="171"/>
      <c r="J320" s="171">
        <f>30+12</f>
        <v>42</v>
      </c>
      <c r="K320" s="171"/>
      <c r="L320" s="171">
        <v>10</v>
      </c>
      <c r="M320" s="171">
        <v>175</v>
      </c>
      <c r="N320" s="171">
        <v>36</v>
      </c>
      <c r="O320" s="171"/>
      <c r="P320" s="171"/>
      <c r="Q320" s="171"/>
      <c r="R320" s="171">
        <v>11</v>
      </c>
      <c r="S320" s="171"/>
      <c r="T320" s="171"/>
      <c r="U320" s="171"/>
      <c r="V320" s="171"/>
      <c r="W320" s="171">
        <f>6+25</f>
        <v>31</v>
      </c>
      <c r="X320" s="171">
        <f>26</f>
        <v>26</v>
      </c>
      <c r="Y320" s="171"/>
      <c r="Z320" s="171"/>
      <c r="AA320" s="171"/>
      <c r="AB320" s="171"/>
      <c r="AC320" s="171">
        <v>42</v>
      </c>
      <c r="AD320" s="171"/>
      <c r="AE320" s="171">
        <v>12</v>
      </c>
      <c r="AF320" s="171">
        <v>256</v>
      </c>
      <c r="AG320" s="172">
        <f t="shared" si="6"/>
        <v>653</v>
      </c>
      <c r="AH320" s="173">
        <f>D320-AG320</f>
        <v>160</v>
      </c>
    </row>
    <row r="321" spans="1:34" ht="35.25" hidden="1" x14ac:dyDescent="0.5">
      <c r="A321" s="127">
        <v>335</v>
      </c>
      <c r="B321" s="98" t="s">
        <v>668</v>
      </c>
      <c r="C321" s="43" t="s">
        <v>669</v>
      </c>
      <c r="D321" s="44">
        <v>388</v>
      </c>
      <c r="E321" s="171"/>
      <c r="F321" s="171"/>
      <c r="G321" s="171"/>
      <c r="H321" s="171"/>
      <c r="I321" s="171"/>
      <c r="J321" s="171">
        <f>36+12</f>
        <v>48</v>
      </c>
      <c r="K321" s="171"/>
      <c r="L321" s="171">
        <v>10</v>
      </c>
      <c r="M321" s="171">
        <v>20</v>
      </c>
      <c r="N321" s="171">
        <f>21+40</f>
        <v>61</v>
      </c>
      <c r="O321" s="171"/>
      <c r="P321" s="171"/>
      <c r="Q321" s="171"/>
      <c r="R321" s="171">
        <v>11</v>
      </c>
      <c r="S321" s="171"/>
      <c r="T321" s="171"/>
      <c r="U321" s="171"/>
      <c r="V321" s="171"/>
      <c r="W321" s="171">
        <v>6</v>
      </c>
      <c r="X321" s="171">
        <f>35+15</f>
        <v>50</v>
      </c>
      <c r="Y321" s="171">
        <v>25</v>
      </c>
      <c r="Z321" s="171"/>
      <c r="AA321" s="171"/>
      <c r="AB321" s="171"/>
      <c r="AC321" s="171">
        <v>6</v>
      </c>
      <c r="AD321" s="171">
        <f>2+9</f>
        <v>11</v>
      </c>
      <c r="AE321" s="171">
        <v>1</v>
      </c>
      <c r="AF321" s="171">
        <v>112</v>
      </c>
      <c r="AG321" s="172">
        <f t="shared" si="6"/>
        <v>361</v>
      </c>
      <c r="AH321" s="173">
        <f>D321-AG321</f>
        <v>27</v>
      </c>
    </row>
    <row r="322" spans="1:34" ht="35.25" hidden="1" x14ac:dyDescent="0.5">
      <c r="A322" s="127">
        <v>336</v>
      </c>
      <c r="B322" s="98" t="s">
        <v>670</v>
      </c>
      <c r="C322" s="43" t="s">
        <v>671</v>
      </c>
      <c r="D322" s="44">
        <v>2</v>
      </c>
      <c r="E322" s="171"/>
      <c r="F322" s="171"/>
      <c r="G322" s="171"/>
      <c r="H322" s="171"/>
      <c r="I322" s="171"/>
      <c r="J322" s="171"/>
      <c r="K322" s="171"/>
      <c r="L322" s="171"/>
      <c r="M322" s="171"/>
      <c r="N322" s="171">
        <v>1</v>
      </c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2">
        <f t="shared" si="6"/>
        <v>1</v>
      </c>
      <c r="AH322" s="173">
        <f>D322-AG322</f>
        <v>1</v>
      </c>
    </row>
    <row r="323" spans="1:34" ht="35.25" hidden="1" x14ac:dyDescent="0.5">
      <c r="A323" s="127">
        <v>337</v>
      </c>
      <c r="B323" s="98" t="s">
        <v>672</v>
      </c>
      <c r="C323" s="43" t="s">
        <v>673</v>
      </c>
      <c r="D323" s="44">
        <v>8</v>
      </c>
      <c r="E323" s="171"/>
      <c r="F323" s="171"/>
      <c r="G323" s="171"/>
      <c r="H323" s="171"/>
      <c r="I323" s="171"/>
      <c r="J323" s="171">
        <v>1</v>
      </c>
      <c r="K323" s="171"/>
      <c r="L323" s="171"/>
      <c r="M323" s="171"/>
      <c r="N323" s="171">
        <v>3</v>
      </c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2">
        <f t="shared" si="6"/>
        <v>4</v>
      </c>
      <c r="AH323" s="173">
        <f>D323-AG323</f>
        <v>4</v>
      </c>
    </row>
    <row r="324" spans="1:34" ht="35.25" hidden="1" x14ac:dyDescent="0.5">
      <c r="A324" s="127">
        <v>338</v>
      </c>
      <c r="B324" s="98" t="s">
        <v>674</v>
      </c>
      <c r="C324" s="43" t="s">
        <v>675</v>
      </c>
      <c r="D324" s="44">
        <v>120</v>
      </c>
      <c r="E324" s="171">
        <v>13</v>
      </c>
      <c r="F324" s="171"/>
      <c r="G324" s="171">
        <v>6</v>
      </c>
      <c r="H324" s="171"/>
      <c r="I324" s="171">
        <v>28</v>
      </c>
      <c r="J324" s="171"/>
      <c r="K324" s="171"/>
      <c r="L324" s="171"/>
      <c r="M324" s="171">
        <v>16</v>
      </c>
      <c r="N324" s="171">
        <v>12</v>
      </c>
      <c r="O324" s="171"/>
      <c r="P324" s="171"/>
      <c r="Q324" s="171"/>
      <c r="R324" s="171"/>
      <c r="S324" s="171">
        <v>6</v>
      </c>
      <c r="T324" s="171"/>
      <c r="U324" s="171"/>
      <c r="V324" s="171"/>
      <c r="W324" s="171">
        <v>12</v>
      </c>
      <c r="X324" s="171">
        <v>10</v>
      </c>
      <c r="Y324" s="171">
        <v>2</v>
      </c>
      <c r="Z324" s="171"/>
      <c r="AA324" s="171"/>
      <c r="AB324" s="171"/>
      <c r="AC324" s="171"/>
      <c r="AD324" s="171"/>
      <c r="AE324" s="171"/>
      <c r="AF324" s="171">
        <v>4</v>
      </c>
      <c r="AG324" s="172">
        <f t="shared" si="6"/>
        <v>96</v>
      </c>
      <c r="AH324" s="173">
        <f>D324-AG324</f>
        <v>24</v>
      </c>
    </row>
    <row r="325" spans="1:34" ht="35.25" hidden="1" x14ac:dyDescent="0.5">
      <c r="A325" s="127">
        <v>339</v>
      </c>
      <c r="B325" s="98" t="s">
        <v>676</v>
      </c>
      <c r="C325" s="43" t="s">
        <v>677</v>
      </c>
      <c r="D325" s="44">
        <v>30</v>
      </c>
      <c r="E325" s="171"/>
      <c r="F325" s="171"/>
      <c r="G325" s="171"/>
      <c r="H325" s="171"/>
      <c r="I325" s="171"/>
      <c r="J325" s="171"/>
      <c r="K325" s="171"/>
      <c r="L325" s="171">
        <v>1</v>
      </c>
      <c r="M325" s="171"/>
      <c r="N325" s="171">
        <v>2</v>
      </c>
      <c r="O325" s="171"/>
      <c r="P325" s="171"/>
      <c r="Q325" s="171"/>
      <c r="R325" s="171"/>
      <c r="S325" s="171"/>
      <c r="T325" s="171"/>
      <c r="U325" s="171"/>
      <c r="V325" s="171"/>
      <c r="W325" s="171">
        <v>2</v>
      </c>
      <c r="X325" s="171">
        <v>8</v>
      </c>
      <c r="Y325" s="171"/>
      <c r="Z325" s="171"/>
      <c r="AA325" s="171"/>
      <c r="AB325" s="171"/>
      <c r="AC325" s="171"/>
      <c r="AD325" s="171"/>
      <c r="AE325" s="171"/>
      <c r="AF325" s="171"/>
      <c r="AG325" s="172">
        <f t="shared" si="6"/>
        <v>13</v>
      </c>
      <c r="AH325" s="173">
        <f>D325-AG325</f>
        <v>17</v>
      </c>
    </row>
    <row r="326" spans="1:34" ht="35.25" hidden="1" x14ac:dyDescent="0.5">
      <c r="A326" s="127">
        <v>340</v>
      </c>
      <c r="B326" s="98" t="s">
        <v>676</v>
      </c>
      <c r="C326" s="43" t="s">
        <v>678</v>
      </c>
      <c r="D326" s="44">
        <v>20</v>
      </c>
      <c r="E326" s="171"/>
      <c r="F326" s="171"/>
      <c r="G326" s="171"/>
      <c r="H326" s="171"/>
      <c r="I326" s="171"/>
      <c r="J326" s="171"/>
      <c r="K326" s="171"/>
      <c r="L326" s="171"/>
      <c r="M326" s="171"/>
      <c r="N326" s="171">
        <v>2</v>
      </c>
      <c r="O326" s="171"/>
      <c r="P326" s="171"/>
      <c r="Q326" s="171"/>
      <c r="R326" s="171"/>
      <c r="S326" s="171"/>
      <c r="T326" s="171"/>
      <c r="U326" s="171"/>
      <c r="V326" s="171"/>
      <c r="W326" s="171">
        <v>2</v>
      </c>
      <c r="X326" s="171"/>
      <c r="Y326" s="171"/>
      <c r="Z326" s="171"/>
      <c r="AA326" s="171"/>
      <c r="AB326" s="171"/>
      <c r="AC326" s="171"/>
      <c r="AD326" s="171"/>
      <c r="AE326" s="171"/>
      <c r="AF326" s="171"/>
      <c r="AG326" s="172">
        <f t="shared" si="6"/>
        <v>4</v>
      </c>
      <c r="AH326" s="173">
        <f>D326-AG326</f>
        <v>16</v>
      </c>
    </row>
    <row r="327" spans="1:34" ht="35.25" hidden="1" x14ac:dyDescent="0.5">
      <c r="A327" s="127">
        <v>341</v>
      </c>
      <c r="B327" s="98" t="s">
        <v>679</v>
      </c>
      <c r="C327" s="43" t="s">
        <v>680</v>
      </c>
      <c r="D327" s="44">
        <v>60</v>
      </c>
      <c r="E327" s="171">
        <v>4</v>
      </c>
      <c r="F327" s="171"/>
      <c r="G327" s="171">
        <v>4</v>
      </c>
      <c r="H327" s="171"/>
      <c r="I327" s="171"/>
      <c r="J327" s="171">
        <f>4+4</f>
        <v>8</v>
      </c>
      <c r="K327" s="171"/>
      <c r="L327" s="171"/>
      <c r="M327" s="171"/>
      <c r="N327" s="171">
        <v>6</v>
      </c>
      <c r="O327" s="171"/>
      <c r="P327" s="171"/>
      <c r="Q327" s="171">
        <v>7</v>
      </c>
      <c r="R327" s="171"/>
      <c r="S327" s="171"/>
      <c r="T327" s="171"/>
      <c r="U327" s="171"/>
      <c r="V327" s="171"/>
      <c r="W327" s="171">
        <v>6</v>
      </c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2">
        <f t="shared" si="6"/>
        <v>31</v>
      </c>
      <c r="AH327" s="173">
        <f>D327-AG327</f>
        <v>29</v>
      </c>
    </row>
    <row r="328" spans="1:34" ht="35.25" hidden="1" x14ac:dyDescent="0.5">
      <c r="A328" s="127">
        <v>342</v>
      </c>
      <c r="B328" s="98" t="s">
        <v>681</v>
      </c>
      <c r="C328" s="43" t="s">
        <v>682</v>
      </c>
      <c r="D328" s="44">
        <v>40</v>
      </c>
      <c r="E328" s="171"/>
      <c r="F328" s="171"/>
      <c r="G328" s="171"/>
      <c r="H328" s="171"/>
      <c r="I328" s="171"/>
      <c r="J328" s="171"/>
      <c r="K328" s="171"/>
      <c r="L328" s="171"/>
      <c r="M328" s="171"/>
      <c r="N328" s="171">
        <v>5</v>
      </c>
      <c r="O328" s="171"/>
      <c r="P328" s="171"/>
      <c r="Q328" s="171">
        <v>12</v>
      </c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  <c r="AG328" s="172">
        <f t="shared" si="6"/>
        <v>17</v>
      </c>
      <c r="AH328" s="173">
        <f>D328-AG328</f>
        <v>23</v>
      </c>
    </row>
    <row r="329" spans="1:34" ht="35.25" hidden="1" x14ac:dyDescent="0.5">
      <c r="A329" s="127">
        <v>343</v>
      </c>
      <c r="B329" s="98" t="s">
        <v>683</v>
      </c>
      <c r="C329" s="43" t="s">
        <v>684</v>
      </c>
      <c r="D329" s="44">
        <v>10</v>
      </c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>
        <v>8</v>
      </c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2">
        <f t="shared" si="6"/>
        <v>8</v>
      </c>
      <c r="AH329" s="173">
        <f>D329-AG329</f>
        <v>2</v>
      </c>
    </row>
    <row r="330" spans="1:34" ht="35.25" hidden="1" x14ac:dyDescent="0.5">
      <c r="A330" s="127">
        <v>344</v>
      </c>
      <c r="B330" s="98" t="s">
        <v>685</v>
      </c>
      <c r="C330" s="43" t="s">
        <v>686</v>
      </c>
      <c r="D330" s="44">
        <v>10</v>
      </c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  <c r="AF330" s="171">
        <v>1</v>
      </c>
      <c r="AG330" s="172">
        <f t="shared" si="6"/>
        <v>1</v>
      </c>
      <c r="AH330" s="173">
        <f>D330-AG330</f>
        <v>9</v>
      </c>
    </row>
    <row r="331" spans="1:34" ht="35.25" hidden="1" x14ac:dyDescent="0.5">
      <c r="A331" s="127">
        <v>345</v>
      </c>
      <c r="B331" s="98" t="s">
        <v>687</v>
      </c>
      <c r="C331" s="43" t="s">
        <v>688</v>
      </c>
      <c r="D331" s="44">
        <v>30</v>
      </c>
      <c r="E331" s="171"/>
      <c r="F331" s="171"/>
      <c r="G331" s="171"/>
      <c r="H331" s="171"/>
      <c r="I331" s="171"/>
      <c r="J331" s="171"/>
      <c r="K331" s="171"/>
      <c r="L331" s="171"/>
      <c r="M331" s="171"/>
      <c r="N331" s="171">
        <f>16+10</f>
        <v>26</v>
      </c>
      <c r="O331" s="171"/>
      <c r="P331" s="171"/>
      <c r="Q331" s="171"/>
      <c r="R331" s="171"/>
      <c r="S331" s="171"/>
      <c r="T331" s="171"/>
      <c r="U331" s="171"/>
      <c r="V331" s="171"/>
      <c r="W331" s="171">
        <v>14</v>
      </c>
      <c r="X331" s="171">
        <f>10+4</f>
        <v>14</v>
      </c>
      <c r="Y331" s="171"/>
      <c r="Z331" s="171"/>
      <c r="AA331" s="171"/>
      <c r="AB331" s="171"/>
      <c r="AC331" s="171"/>
      <c r="AD331" s="171"/>
      <c r="AE331" s="171"/>
      <c r="AF331" s="171">
        <v>1</v>
      </c>
      <c r="AG331" s="172">
        <f t="shared" si="6"/>
        <v>55</v>
      </c>
      <c r="AH331" s="173">
        <f>D331-AG331</f>
        <v>-25</v>
      </c>
    </row>
    <row r="332" spans="1:34" ht="35.25" hidden="1" x14ac:dyDescent="0.5">
      <c r="A332" s="127">
        <v>346</v>
      </c>
      <c r="B332" s="98" t="s">
        <v>689</v>
      </c>
      <c r="C332" s="43" t="s">
        <v>690</v>
      </c>
      <c r="D332" s="44">
        <v>56</v>
      </c>
      <c r="E332" s="171"/>
      <c r="F332" s="171"/>
      <c r="G332" s="171"/>
      <c r="H332" s="171"/>
      <c r="I332" s="171"/>
      <c r="J332" s="171"/>
      <c r="K332" s="171"/>
      <c r="L332" s="171"/>
      <c r="M332" s="171"/>
      <c r="N332" s="171">
        <f>15+10</f>
        <v>25</v>
      </c>
      <c r="O332" s="171"/>
      <c r="P332" s="171"/>
      <c r="Q332" s="171"/>
      <c r="R332" s="171"/>
      <c r="S332" s="171"/>
      <c r="T332" s="171"/>
      <c r="U332" s="171"/>
      <c r="V332" s="171"/>
      <c r="W332" s="171">
        <v>13</v>
      </c>
      <c r="X332" s="171">
        <f>10+4</f>
        <v>14</v>
      </c>
      <c r="Y332" s="171"/>
      <c r="Z332" s="171"/>
      <c r="AA332" s="171"/>
      <c r="AB332" s="171"/>
      <c r="AC332" s="171"/>
      <c r="AD332" s="171"/>
      <c r="AE332" s="171"/>
      <c r="AF332" s="171"/>
      <c r="AG332" s="172">
        <f t="shared" si="6"/>
        <v>52</v>
      </c>
      <c r="AH332" s="173">
        <f>D332-AG332</f>
        <v>4</v>
      </c>
    </row>
    <row r="333" spans="1:34" ht="35.25" hidden="1" x14ac:dyDescent="0.5">
      <c r="A333" s="127">
        <v>347</v>
      </c>
      <c r="B333" s="98" t="s">
        <v>691</v>
      </c>
      <c r="C333" s="43" t="s">
        <v>692</v>
      </c>
      <c r="D333" s="44">
        <v>36</v>
      </c>
      <c r="E333" s="171"/>
      <c r="F333" s="171"/>
      <c r="G333" s="171"/>
      <c r="H333" s="171"/>
      <c r="I333" s="171"/>
      <c r="J333" s="171"/>
      <c r="K333" s="171"/>
      <c r="L333" s="171"/>
      <c r="M333" s="171"/>
      <c r="N333" s="171">
        <v>4</v>
      </c>
      <c r="O333" s="171"/>
      <c r="P333" s="171"/>
      <c r="Q333" s="171"/>
      <c r="R333" s="171">
        <v>6</v>
      </c>
      <c r="S333" s="171"/>
      <c r="T333" s="171"/>
      <c r="U333" s="171"/>
      <c r="V333" s="171"/>
      <c r="W333" s="171">
        <v>14</v>
      </c>
      <c r="X333" s="171"/>
      <c r="Y333" s="171"/>
      <c r="Z333" s="171"/>
      <c r="AA333" s="171"/>
      <c r="AB333" s="171"/>
      <c r="AC333" s="171"/>
      <c r="AD333" s="171"/>
      <c r="AE333" s="171">
        <v>1</v>
      </c>
      <c r="AF333" s="171"/>
      <c r="AG333" s="172">
        <f t="shared" si="6"/>
        <v>25</v>
      </c>
      <c r="AH333" s="173">
        <f>D333-AG333</f>
        <v>11</v>
      </c>
    </row>
    <row r="334" spans="1:34" ht="35.25" hidden="1" x14ac:dyDescent="0.5">
      <c r="A334" s="127">
        <v>348</v>
      </c>
      <c r="B334" s="98" t="s">
        <v>693</v>
      </c>
      <c r="C334" s="43" t="s">
        <v>694</v>
      </c>
      <c r="D334" s="44">
        <v>44</v>
      </c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>
        <v>22</v>
      </c>
      <c r="R334" s="171">
        <v>5</v>
      </c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>
        <v>2</v>
      </c>
      <c r="AC334" s="171"/>
      <c r="AD334" s="171"/>
      <c r="AE334" s="171"/>
      <c r="AF334" s="171"/>
      <c r="AG334" s="172">
        <f t="shared" si="6"/>
        <v>29</v>
      </c>
      <c r="AH334" s="173">
        <f>D334-AG334</f>
        <v>15</v>
      </c>
    </row>
    <row r="335" spans="1:34" ht="35.25" hidden="1" x14ac:dyDescent="0.5">
      <c r="A335" s="127">
        <v>349</v>
      </c>
      <c r="B335" s="98" t="s">
        <v>695</v>
      </c>
      <c r="C335" s="43" t="s">
        <v>696</v>
      </c>
      <c r="D335" s="44">
        <v>44</v>
      </c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>
        <v>22</v>
      </c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/>
      <c r="AG335" s="172">
        <f t="shared" si="6"/>
        <v>22</v>
      </c>
      <c r="AH335" s="173">
        <f>D335-AG335</f>
        <v>22</v>
      </c>
    </row>
    <row r="336" spans="1:34" ht="35.25" hidden="1" x14ac:dyDescent="0.5">
      <c r="A336" s="127">
        <v>350</v>
      </c>
      <c r="B336" s="98" t="s">
        <v>697</v>
      </c>
      <c r="C336" s="43" t="s">
        <v>698</v>
      </c>
      <c r="D336" s="44">
        <v>104</v>
      </c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>
        <v>66</v>
      </c>
      <c r="R336" s="171">
        <v>15</v>
      </c>
      <c r="S336" s="171"/>
      <c r="T336" s="171"/>
      <c r="U336" s="171"/>
      <c r="V336" s="171"/>
      <c r="W336" s="171"/>
      <c r="X336" s="171">
        <v>9</v>
      </c>
      <c r="Y336" s="171"/>
      <c r="Z336" s="171"/>
      <c r="AA336" s="171"/>
      <c r="AB336" s="171"/>
      <c r="AC336" s="171"/>
      <c r="AD336" s="171">
        <v>1</v>
      </c>
      <c r="AE336" s="171"/>
      <c r="AF336" s="171"/>
      <c r="AG336" s="172">
        <f t="shared" si="6"/>
        <v>91</v>
      </c>
      <c r="AH336" s="173">
        <f>D336-AG336</f>
        <v>13</v>
      </c>
    </row>
    <row r="337" spans="1:35" ht="35.25" hidden="1" x14ac:dyDescent="0.5">
      <c r="A337" s="127">
        <v>351</v>
      </c>
      <c r="B337" s="98" t="s">
        <v>699</v>
      </c>
      <c r="C337" s="43" t="s">
        <v>700</v>
      </c>
      <c r="D337" s="44">
        <v>78</v>
      </c>
      <c r="E337" s="171"/>
      <c r="F337" s="171"/>
      <c r="G337" s="171"/>
      <c r="H337" s="171"/>
      <c r="I337" s="171"/>
      <c r="J337" s="171"/>
      <c r="K337" s="171"/>
      <c r="L337" s="171"/>
      <c r="M337" s="171">
        <v>4</v>
      </c>
      <c r="N337" s="171">
        <v>10</v>
      </c>
      <c r="O337" s="171"/>
      <c r="P337" s="171"/>
      <c r="Q337" s="171"/>
      <c r="R337" s="171">
        <v>15</v>
      </c>
      <c r="S337" s="171"/>
      <c r="T337" s="171"/>
      <c r="U337" s="171"/>
      <c r="V337" s="171"/>
      <c r="W337" s="171"/>
      <c r="X337" s="171">
        <f>8+10</f>
        <v>18</v>
      </c>
      <c r="Y337" s="171"/>
      <c r="Z337" s="171"/>
      <c r="AA337" s="171"/>
      <c r="AB337" s="171"/>
      <c r="AC337" s="171"/>
      <c r="AD337" s="171"/>
      <c r="AE337" s="171"/>
      <c r="AF337" s="171"/>
      <c r="AG337" s="172">
        <f t="shared" si="6"/>
        <v>47</v>
      </c>
      <c r="AH337" s="173">
        <f>D337-AG337</f>
        <v>31</v>
      </c>
    </row>
    <row r="338" spans="1:35" ht="35.25" hidden="1" x14ac:dyDescent="0.5">
      <c r="A338" s="127">
        <v>352</v>
      </c>
      <c r="B338" s="98" t="s">
        <v>701</v>
      </c>
      <c r="C338" s="43" t="s">
        <v>702</v>
      </c>
      <c r="D338" s="44">
        <v>40</v>
      </c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 t="s">
        <v>1029</v>
      </c>
      <c r="P338" s="171"/>
      <c r="Q338" s="171">
        <v>10</v>
      </c>
      <c r="R338" s="171"/>
      <c r="S338" s="171"/>
      <c r="T338" s="171"/>
      <c r="U338" s="171"/>
      <c r="V338" s="171"/>
      <c r="W338" s="171">
        <v>10</v>
      </c>
      <c r="X338" s="171"/>
      <c r="Y338" s="171"/>
      <c r="Z338" s="171"/>
      <c r="AA338" s="171"/>
      <c r="AB338" s="171"/>
      <c r="AC338" s="171"/>
      <c r="AD338" s="171"/>
      <c r="AE338" s="171"/>
      <c r="AF338" s="171"/>
      <c r="AG338" s="172">
        <f t="shared" si="6"/>
        <v>20</v>
      </c>
      <c r="AH338" s="173">
        <f>D338-AG338</f>
        <v>20</v>
      </c>
    </row>
    <row r="339" spans="1:35" ht="35.25" hidden="1" x14ac:dyDescent="0.5">
      <c r="A339" s="127">
        <v>353</v>
      </c>
      <c r="B339" s="98" t="s">
        <v>703</v>
      </c>
      <c r="C339" s="43" t="s">
        <v>704</v>
      </c>
      <c r="D339" s="44">
        <v>20</v>
      </c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>
        <v>11</v>
      </c>
      <c r="R339" s="171"/>
      <c r="S339" s="171"/>
      <c r="T339" s="171"/>
      <c r="U339" s="171"/>
      <c r="V339" s="171"/>
      <c r="W339" s="171">
        <v>3</v>
      </c>
      <c r="X339" s="171"/>
      <c r="Y339" s="171"/>
      <c r="Z339" s="171"/>
      <c r="AA339" s="171"/>
      <c r="AB339" s="171"/>
      <c r="AC339" s="171"/>
      <c r="AD339" s="171"/>
      <c r="AE339" s="171">
        <f>1+1</f>
        <v>2</v>
      </c>
      <c r="AF339" s="171"/>
      <c r="AG339" s="172">
        <f t="shared" si="6"/>
        <v>16</v>
      </c>
      <c r="AH339" s="173">
        <f>D339-AG339</f>
        <v>4</v>
      </c>
    </row>
    <row r="340" spans="1:35" ht="35.25" hidden="1" x14ac:dyDescent="0.5">
      <c r="A340" s="127">
        <v>354</v>
      </c>
      <c r="B340" s="98" t="s">
        <v>705</v>
      </c>
      <c r="C340" s="43" t="s">
        <v>706</v>
      </c>
      <c r="D340" s="44">
        <v>105</v>
      </c>
      <c r="E340" s="171"/>
      <c r="F340" s="171"/>
      <c r="G340" s="171"/>
      <c r="H340" s="171"/>
      <c r="I340" s="171">
        <v>4</v>
      </c>
      <c r="J340" s="171"/>
      <c r="K340" s="171"/>
      <c r="L340" s="171"/>
      <c r="M340" s="171"/>
      <c r="N340" s="171">
        <f>3+10</f>
        <v>13</v>
      </c>
      <c r="O340" s="171"/>
      <c r="P340" s="171"/>
      <c r="Q340" s="171">
        <v>14</v>
      </c>
      <c r="R340" s="171">
        <v>15</v>
      </c>
      <c r="S340" s="171"/>
      <c r="T340" s="171"/>
      <c r="U340" s="171"/>
      <c r="V340" s="171"/>
      <c r="W340" s="171">
        <v>23</v>
      </c>
      <c r="X340" s="171">
        <v>10</v>
      </c>
      <c r="Y340" s="171"/>
      <c r="Z340" s="171"/>
      <c r="AA340" s="171"/>
      <c r="AB340" s="171"/>
      <c r="AC340" s="171"/>
      <c r="AD340" s="171"/>
      <c r="AE340" s="171"/>
      <c r="AF340" s="171"/>
      <c r="AG340" s="172">
        <f t="shared" si="6"/>
        <v>79</v>
      </c>
      <c r="AH340" s="173">
        <f>D340-AG340</f>
        <v>26</v>
      </c>
    </row>
    <row r="341" spans="1:35" ht="35.25" hidden="1" x14ac:dyDescent="0.5">
      <c r="A341" s="127">
        <v>355</v>
      </c>
      <c r="B341" s="98" t="s">
        <v>707</v>
      </c>
      <c r="C341" s="43" t="s">
        <v>708</v>
      </c>
      <c r="D341" s="44">
        <v>12</v>
      </c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>
        <v>10</v>
      </c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2">
        <f t="shared" si="6"/>
        <v>10</v>
      </c>
      <c r="AH341" s="173">
        <f>D341-AG341</f>
        <v>2</v>
      </c>
    </row>
    <row r="342" spans="1:35" ht="35.25" hidden="1" x14ac:dyDescent="0.5">
      <c r="A342" s="127">
        <v>356</v>
      </c>
      <c r="B342" s="98" t="s">
        <v>709</v>
      </c>
      <c r="C342" s="43" t="s">
        <v>710</v>
      </c>
      <c r="D342" s="44">
        <v>42</v>
      </c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>
        <v>1</v>
      </c>
      <c r="AF342" s="171"/>
      <c r="AG342" s="172">
        <f t="shared" si="6"/>
        <v>1</v>
      </c>
      <c r="AH342" s="173">
        <f>D342-AG342</f>
        <v>41</v>
      </c>
    </row>
    <row r="343" spans="1:35" ht="35.25" hidden="1" x14ac:dyDescent="0.5">
      <c r="A343" s="127">
        <v>357</v>
      </c>
      <c r="B343" s="98" t="s">
        <v>711</v>
      </c>
      <c r="C343" s="43" t="s">
        <v>712</v>
      </c>
      <c r="D343" s="44">
        <v>63</v>
      </c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>
        <v>21</v>
      </c>
      <c r="R343" s="171"/>
      <c r="S343" s="171"/>
      <c r="T343" s="171"/>
      <c r="U343" s="171"/>
      <c r="V343" s="171"/>
      <c r="W343" s="171"/>
      <c r="X343" s="171">
        <v>21</v>
      </c>
      <c r="Y343" s="171"/>
      <c r="Z343" s="171"/>
      <c r="AA343" s="171"/>
      <c r="AB343" s="171"/>
      <c r="AC343" s="171"/>
      <c r="AD343" s="171"/>
      <c r="AE343" s="171"/>
      <c r="AF343" s="171"/>
      <c r="AG343" s="172">
        <f t="shared" si="6"/>
        <v>42</v>
      </c>
      <c r="AH343" s="173">
        <f>D343-AG343</f>
        <v>21</v>
      </c>
    </row>
    <row r="344" spans="1:35" ht="35.25" hidden="1" x14ac:dyDescent="0.5">
      <c r="A344" s="127">
        <v>358</v>
      </c>
      <c r="B344" s="98" t="s">
        <v>713</v>
      </c>
      <c r="C344" s="43" t="s">
        <v>714</v>
      </c>
      <c r="D344" s="44">
        <v>63</v>
      </c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>
        <v>21</v>
      </c>
      <c r="R344" s="171"/>
      <c r="S344" s="171"/>
      <c r="T344" s="171"/>
      <c r="U344" s="171"/>
      <c r="V344" s="171"/>
      <c r="W344" s="171">
        <v>21</v>
      </c>
      <c r="X344" s="171">
        <v>63</v>
      </c>
      <c r="Y344" s="171"/>
      <c r="Z344" s="171"/>
      <c r="AA344" s="171"/>
      <c r="AB344" s="171"/>
      <c r="AC344" s="171"/>
      <c r="AD344" s="171"/>
      <c r="AE344" s="171"/>
      <c r="AF344" s="171"/>
      <c r="AG344" s="172">
        <f t="shared" si="6"/>
        <v>105</v>
      </c>
      <c r="AH344" s="174">
        <f>D344-AG344</f>
        <v>-42</v>
      </c>
      <c r="AI344" s="91">
        <v>73</v>
      </c>
    </row>
    <row r="345" spans="1:35" ht="35.25" hidden="1" x14ac:dyDescent="0.5">
      <c r="A345" s="127">
        <v>359</v>
      </c>
      <c r="B345" s="98" t="s">
        <v>715</v>
      </c>
      <c r="C345" s="43" t="s">
        <v>716</v>
      </c>
      <c r="D345" s="44">
        <v>63</v>
      </c>
      <c r="E345" s="171"/>
      <c r="F345" s="171"/>
      <c r="G345" s="171"/>
      <c r="H345" s="171"/>
      <c r="I345" s="171"/>
      <c r="J345" s="171"/>
      <c r="K345" s="171"/>
      <c r="L345" s="171"/>
      <c r="M345" s="171"/>
      <c r="N345" s="171">
        <v>21</v>
      </c>
      <c r="O345" s="171"/>
      <c r="P345" s="171"/>
      <c r="Q345" s="171">
        <v>21</v>
      </c>
      <c r="R345" s="171"/>
      <c r="S345" s="171"/>
      <c r="T345" s="171"/>
      <c r="U345" s="171"/>
      <c r="V345" s="171"/>
      <c r="W345" s="171">
        <v>21</v>
      </c>
      <c r="X345" s="171">
        <v>21</v>
      </c>
      <c r="Y345" s="171"/>
      <c r="Z345" s="171"/>
      <c r="AA345" s="171"/>
      <c r="AB345" s="171"/>
      <c r="AC345" s="171"/>
      <c r="AD345" s="171"/>
      <c r="AE345" s="171"/>
      <c r="AF345" s="171">
        <v>1</v>
      </c>
      <c r="AG345" s="172">
        <f t="shared" si="6"/>
        <v>85</v>
      </c>
      <c r="AH345" s="173">
        <f>D345-AG345</f>
        <v>-22</v>
      </c>
    </row>
    <row r="346" spans="1:35" ht="35.25" hidden="1" x14ac:dyDescent="0.5">
      <c r="A346" s="127">
        <v>360</v>
      </c>
      <c r="B346" s="98" t="s">
        <v>717</v>
      </c>
      <c r="C346" s="43" t="s">
        <v>718</v>
      </c>
      <c r="D346" s="44">
        <v>1</v>
      </c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>
        <v>21</v>
      </c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2">
        <f t="shared" ref="AG346:AG362" si="7">SUM(F346:AF346)</f>
        <v>21</v>
      </c>
      <c r="AH346" s="173">
        <f>D346-AG346</f>
        <v>-20</v>
      </c>
    </row>
    <row r="347" spans="1:35" ht="35.25" hidden="1" x14ac:dyDescent="0.5">
      <c r="A347" s="127">
        <v>361</v>
      </c>
      <c r="B347" s="98" t="s">
        <v>719</v>
      </c>
      <c r="C347" s="43" t="s">
        <v>720</v>
      </c>
      <c r="D347" s="44">
        <v>60</v>
      </c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>
        <v>15</v>
      </c>
      <c r="R347" s="171"/>
      <c r="S347" s="171"/>
      <c r="T347" s="171"/>
      <c r="U347" s="171"/>
      <c r="V347" s="171"/>
      <c r="W347" s="171"/>
      <c r="X347" s="171">
        <v>45</v>
      </c>
      <c r="Y347" s="171"/>
      <c r="Z347" s="171"/>
      <c r="AA347" s="171"/>
      <c r="AB347" s="171"/>
      <c r="AC347" s="171"/>
      <c r="AD347" s="171"/>
      <c r="AE347" s="171"/>
      <c r="AF347" s="171"/>
      <c r="AG347" s="172">
        <f t="shared" si="7"/>
        <v>60</v>
      </c>
      <c r="AH347" s="173">
        <f>D347-AG347</f>
        <v>0</v>
      </c>
    </row>
    <row r="348" spans="1:35" ht="35.25" hidden="1" x14ac:dyDescent="0.5">
      <c r="A348" s="127">
        <v>362</v>
      </c>
      <c r="B348" s="98" t="s">
        <v>721</v>
      </c>
      <c r="C348" s="43" t="s">
        <v>722</v>
      </c>
      <c r="D348" s="44">
        <v>60</v>
      </c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>
        <v>15</v>
      </c>
      <c r="R348" s="171"/>
      <c r="S348" s="171"/>
      <c r="T348" s="171"/>
      <c r="U348" s="171"/>
      <c r="V348" s="171"/>
      <c r="W348" s="171">
        <v>15</v>
      </c>
      <c r="X348" s="171">
        <v>15</v>
      </c>
      <c r="Y348" s="171"/>
      <c r="Z348" s="171"/>
      <c r="AA348" s="171"/>
      <c r="AB348" s="171"/>
      <c r="AC348" s="171"/>
      <c r="AD348" s="171"/>
      <c r="AE348" s="171"/>
      <c r="AF348" s="171"/>
      <c r="AG348" s="172">
        <f t="shared" si="7"/>
        <v>45</v>
      </c>
      <c r="AH348" s="173">
        <f>D348-AG348</f>
        <v>15</v>
      </c>
    </row>
    <row r="349" spans="1:35" ht="35.25" hidden="1" x14ac:dyDescent="0.5">
      <c r="A349" s="127">
        <v>363</v>
      </c>
      <c r="B349" s="98" t="s">
        <v>723</v>
      </c>
      <c r="C349" s="43" t="s">
        <v>724</v>
      </c>
      <c r="D349" s="44">
        <v>360</v>
      </c>
      <c r="E349" s="171"/>
      <c r="F349" s="171"/>
      <c r="G349" s="171"/>
      <c r="H349" s="171"/>
      <c r="I349" s="171"/>
      <c r="J349" s="171">
        <v>24</v>
      </c>
      <c r="K349" s="171"/>
      <c r="L349" s="171"/>
      <c r="M349" s="171">
        <v>20</v>
      </c>
      <c r="N349" s="171">
        <f>15+20</f>
        <v>35</v>
      </c>
      <c r="O349" s="171"/>
      <c r="P349" s="171"/>
      <c r="Q349" s="171">
        <v>33</v>
      </c>
      <c r="R349" s="171">
        <v>11</v>
      </c>
      <c r="S349" s="171"/>
      <c r="T349" s="171"/>
      <c r="U349" s="171"/>
      <c r="V349" s="171"/>
      <c r="W349" s="171">
        <v>10</v>
      </c>
      <c r="X349" s="171">
        <f>13</f>
        <v>13</v>
      </c>
      <c r="Y349" s="171"/>
      <c r="Z349" s="171"/>
      <c r="AA349" s="171"/>
      <c r="AB349" s="171"/>
      <c r="AC349" s="171">
        <v>32</v>
      </c>
      <c r="AD349" s="171">
        <v>55</v>
      </c>
      <c r="AE349" s="171">
        <v>4</v>
      </c>
      <c r="AF349" s="171">
        <v>1</v>
      </c>
      <c r="AG349" s="172">
        <f t="shared" si="7"/>
        <v>238</v>
      </c>
      <c r="AH349" s="173">
        <f>D349-AG349</f>
        <v>122</v>
      </c>
    </row>
    <row r="350" spans="1:35" ht="35.25" hidden="1" x14ac:dyDescent="0.5">
      <c r="A350" s="127">
        <v>364</v>
      </c>
      <c r="B350" s="98" t="s">
        <v>725</v>
      </c>
      <c r="C350" s="43" t="s">
        <v>726</v>
      </c>
      <c r="D350" s="44">
        <v>204</v>
      </c>
      <c r="E350" s="171">
        <v>11</v>
      </c>
      <c r="F350" s="171"/>
      <c r="G350" s="171"/>
      <c r="H350" s="171"/>
      <c r="I350" s="171"/>
      <c r="J350" s="171"/>
      <c r="K350" s="171"/>
      <c r="L350" s="171"/>
      <c r="M350" s="171">
        <v>20</v>
      </c>
      <c r="N350" s="171">
        <f>8+15+20</f>
        <v>43</v>
      </c>
      <c r="O350" s="171"/>
      <c r="P350" s="171"/>
      <c r="Q350" s="171"/>
      <c r="R350" s="171">
        <f>11+50</f>
        <v>61</v>
      </c>
      <c r="S350" s="171"/>
      <c r="T350" s="171"/>
      <c r="U350" s="171"/>
      <c r="V350" s="171"/>
      <c r="W350" s="171"/>
      <c r="X350" s="171">
        <f>17</f>
        <v>17</v>
      </c>
      <c r="Y350" s="171"/>
      <c r="Z350" s="171"/>
      <c r="AA350" s="171"/>
      <c r="AB350" s="171"/>
      <c r="AC350" s="171">
        <v>33</v>
      </c>
      <c r="AD350" s="171"/>
      <c r="AE350" s="171"/>
      <c r="AF350" s="171"/>
      <c r="AG350" s="172">
        <f t="shared" si="7"/>
        <v>174</v>
      </c>
      <c r="AH350" s="173">
        <f>D350-AG350</f>
        <v>30</v>
      </c>
    </row>
    <row r="351" spans="1:35" ht="35.25" hidden="1" x14ac:dyDescent="0.5">
      <c r="A351" s="127">
        <v>365</v>
      </c>
      <c r="B351" s="98" t="s">
        <v>727</v>
      </c>
      <c r="C351" s="43" t="s">
        <v>728</v>
      </c>
      <c r="D351" s="44">
        <v>360</v>
      </c>
      <c r="E351" s="171">
        <f>96+11</f>
        <v>107</v>
      </c>
      <c r="F351" s="171"/>
      <c r="G351" s="171"/>
      <c r="H351" s="171"/>
      <c r="I351" s="171"/>
      <c r="J351" s="171">
        <v>13</v>
      </c>
      <c r="K351" s="171"/>
      <c r="L351" s="171"/>
      <c r="M351" s="171">
        <v>20</v>
      </c>
      <c r="N351" s="171">
        <f>15+40</f>
        <v>55</v>
      </c>
      <c r="O351" s="171"/>
      <c r="P351" s="171"/>
      <c r="Q351" s="171">
        <v>33</v>
      </c>
      <c r="R351" s="171">
        <f>11+50</f>
        <v>61</v>
      </c>
      <c r="S351" s="171"/>
      <c r="T351" s="171"/>
      <c r="U351" s="171"/>
      <c r="V351" s="171"/>
      <c r="W351" s="171">
        <f>20+20</f>
        <v>40</v>
      </c>
      <c r="X351" s="171">
        <f>16</f>
        <v>16</v>
      </c>
      <c r="Y351" s="171"/>
      <c r="Z351" s="171"/>
      <c r="AA351" s="171"/>
      <c r="AB351" s="171"/>
      <c r="AC351" s="171"/>
      <c r="AD351" s="171"/>
      <c r="AE351" s="171"/>
      <c r="AF351" s="171"/>
      <c r="AG351" s="172">
        <f t="shared" si="7"/>
        <v>238</v>
      </c>
      <c r="AH351" s="173">
        <f>D351-AG351</f>
        <v>122</v>
      </c>
    </row>
    <row r="352" spans="1:35" ht="35.25" hidden="1" x14ac:dyDescent="0.5">
      <c r="A352" s="127">
        <v>366</v>
      </c>
      <c r="B352" s="98" t="s">
        <v>729</v>
      </c>
      <c r="C352" s="43" t="s">
        <v>730</v>
      </c>
      <c r="D352" s="44">
        <v>132</v>
      </c>
      <c r="E352" s="171"/>
      <c r="F352" s="171"/>
      <c r="G352" s="171"/>
      <c r="H352" s="171"/>
      <c r="I352" s="171"/>
      <c r="J352" s="171"/>
      <c r="K352" s="171"/>
      <c r="L352" s="171"/>
      <c r="M352" s="171"/>
      <c r="N352" s="171">
        <f>10+14</f>
        <v>24</v>
      </c>
      <c r="O352" s="171"/>
      <c r="P352" s="171"/>
      <c r="Q352" s="171"/>
      <c r="R352" s="171">
        <v>15</v>
      </c>
      <c r="S352" s="171"/>
      <c r="T352" s="171"/>
      <c r="U352" s="171"/>
      <c r="V352" s="171"/>
      <c r="W352" s="171"/>
      <c r="X352" s="171">
        <f>2+13</f>
        <v>15</v>
      </c>
      <c r="Y352" s="171"/>
      <c r="Z352" s="171"/>
      <c r="AA352" s="171"/>
      <c r="AB352" s="171"/>
      <c r="AC352" s="171">
        <v>9</v>
      </c>
      <c r="AD352" s="171"/>
      <c r="AE352" s="171"/>
      <c r="AF352" s="171">
        <v>12</v>
      </c>
      <c r="AG352" s="172">
        <f t="shared" si="7"/>
        <v>75</v>
      </c>
      <c r="AH352" s="173">
        <f>D352-AG352</f>
        <v>57</v>
      </c>
    </row>
    <row r="353" spans="1:35" ht="35.25" hidden="1" x14ac:dyDescent="0.5">
      <c r="A353" s="127">
        <v>367</v>
      </c>
      <c r="B353" s="98" t="s">
        <v>657</v>
      </c>
      <c r="C353" s="43" t="s">
        <v>731</v>
      </c>
      <c r="D353" s="44">
        <v>156</v>
      </c>
      <c r="E353" s="171">
        <v>4</v>
      </c>
      <c r="F353" s="171"/>
      <c r="G353" s="171"/>
      <c r="H353" s="171"/>
      <c r="I353" s="171"/>
      <c r="J353" s="171"/>
      <c r="K353" s="171"/>
      <c r="L353" s="171"/>
      <c r="M353" s="171"/>
      <c r="N353" s="171">
        <v>6</v>
      </c>
      <c r="O353" s="171"/>
      <c r="P353" s="171"/>
      <c r="Q353" s="171">
        <v>28</v>
      </c>
      <c r="R353" s="171">
        <v>15</v>
      </c>
      <c r="S353" s="171"/>
      <c r="T353" s="171"/>
      <c r="U353" s="171"/>
      <c r="V353" s="171"/>
      <c r="W353" s="171">
        <f>6+11</f>
        <v>17</v>
      </c>
      <c r="X353" s="171">
        <f>30+20</f>
        <v>50</v>
      </c>
      <c r="Y353" s="171"/>
      <c r="Z353" s="171"/>
      <c r="AA353" s="171"/>
      <c r="AB353" s="171"/>
      <c r="AC353" s="171">
        <v>2</v>
      </c>
      <c r="AD353" s="171"/>
      <c r="AE353" s="171">
        <v>6</v>
      </c>
      <c r="AF353" s="171"/>
      <c r="AG353" s="172">
        <f t="shared" si="7"/>
        <v>124</v>
      </c>
      <c r="AH353" s="173">
        <f>D353-AG353</f>
        <v>32</v>
      </c>
    </row>
    <row r="354" spans="1:35" ht="35.25" hidden="1" x14ac:dyDescent="0.5">
      <c r="A354" s="127">
        <v>368</v>
      </c>
      <c r="B354" s="98" t="s">
        <v>732</v>
      </c>
      <c r="C354" s="43" t="s">
        <v>733</v>
      </c>
      <c r="D354" s="44">
        <v>24</v>
      </c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>
        <v>10</v>
      </c>
      <c r="X354" s="171">
        <f>13+1</f>
        <v>14</v>
      </c>
      <c r="Y354" s="171"/>
      <c r="Z354" s="171"/>
      <c r="AA354" s="171"/>
      <c r="AB354" s="171"/>
      <c r="AC354" s="171"/>
      <c r="AD354" s="171"/>
      <c r="AE354" s="171"/>
      <c r="AF354" s="171"/>
      <c r="AG354" s="172">
        <f t="shared" si="7"/>
        <v>24</v>
      </c>
      <c r="AH354" s="173">
        <f>D354-AG354</f>
        <v>0</v>
      </c>
    </row>
    <row r="355" spans="1:35" ht="35.25" hidden="1" x14ac:dyDescent="0.5">
      <c r="A355" s="127">
        <v>369</v>
      </c>
      <c r="B355" s="98" t="s">
        <v>734</v>
      </c>
      <c r="C355" s="43" t="s">
        <v>735</v>
      </c>
      <c r="D355" s="44">
        <v>24</v>
      </c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>
        <v>10</v>
      </c>
      <c r="X355" s="171">
        <v>14</v>
      </c>
      <c r="Y355" s="171"/>
      <c r="Z355" s="171"/>
      <c r="AA355" s="171"/>
      <c r="AB355" s="171"/>
      <c r="AC355" s="171"/>
      <c r="AD355" s="171"/>
      <c r="AE355" s="171"/>
      <c r="AF355" s="171"/>
      <c r="AG355" s="172">
        <f t="shared" si="7"/>
        <v>24</v>
      </c>
      <c r="AH355" s="173">
        <f>D355-AG355</f>
        <v>0</v>
      </c>
    </row>
    <row r="356" spans="1:35" ht="35.25" hidden="1" x14ac:dyDescent="0.5">
      <c r="A356" s="127">
        <v>370</v>
      </c>
      <c r="B356" s="98" t="s">
        <v>736</v>
      </c>
      <c r="C356" s="43" t="s">
        <v>737</v>
      </c>
      <c r="D356" s="44">
        <v>42</v>
      </c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>
        <f>13</f>
        <v>13</v>
      </c>
      <c r="Y356" s="171"/>
      <c r="Z356" s="171"/>
      <c r="AA356" s="171"/>
      <c r="AB356" s="171"/>
      <c r="AC356" s="171">
        <v>14</v>
      </c>
      <c r="AD356" s="171"/>
      <c r="AE356" s="171"/>
      <c r="AF356" s="171"/>
      <c r="AG356" s="172">
        <f t="shared" si="7"/>
        <v>27</v>
      </c>
      <c r="AH356" s="173">
        <f>D356-AG356</f>
        <v>15</v>
      </c>
    </row>
    <row r="357" spans="1:35" ht="35.25" hidden="1" x14ac:dyDescent="0.5">
      <c r="A357" s="127">
        <v>371</v>
      </c>
      <c r="B357" s="99" t="s">
        <v>738</v>
      </c>
      <c r="C357" s="46" t="s">
        <v>739</v>
      </c>
      <c r="D357" s="47">
        <v>58</v>
      </c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>
        <v>10</v>
      </c>
      <c r="X357" s="171">
        <v>6</v>
      </c>
      <c r="Y357" s="171"/>
      <c r="Z357" s="171"/>
      <c r="AA357" s="171"/>
      <c r="AB357" s="171"/>
      <c r="AC357" s="171"/>
      <c r="AD357" s="171"/>
      <c r="AE357" s="171"/>
      <c r="AF357" s="171"/>
      <c r="AG357" s="172">
        <f t="shared" si="7"/>
        <v>16</v>
      </c>
      <c r="AH357" s="173">
        <f>D357-AG357</f>
        <v>42</v>
      </c>
    </row>
    <row r="358" spans="1:35" ht="35.25" hidden="1" x14ac:dyDescent="0.5">
      <c r="A358" s="127">
        <v>372</v>
      </c>
      <c r="B358" s="99" t="s">
        <v>740</v>
      </c>
      <c r="C358" s="46" t="s">
        <v>741</v>
      </c>
      <c r="D358" s="47">
        <v>36</v>
      </c>
      <c r="E358" s="171"/>
      <c r="F358" s="171"/>
      <c r="G358" s="171"/>
      <c r="H358" s="171"/>
      <c r="I358" s="171"/>
      <c r="J358" s="171"/>
      <c r="K358" s="171"/>
      <c r="L358" s="171">
        <v>6</v>
      </c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>
        <v>6</v>
      </c>
      <c r="Y358" s="171"/>
      <c r="Z358" s="171"/>
      <c r="AA358" s="171"/>
      <c r="AB358" s="171"/>
      <c r="AC358" s="171"/>
      <c r="AD358" s="171">
        <v>1</v>
      </c>
      <c r="AE358" s="171"/>
      <c r="AF358" s="171">
        <v>1</v>
      </c>
      <c r="AG358" s="172">
        <f t="shared" si="7"/>
        <v>14</v>
      </c>
      <c r="AH358" s="173">
        <f>D358-AG358</f>
        <v>22</v>
      </c>
    </row>
    <row r="359" spans="1:35" ht="35.25" hidden="1" x14ac:dyDescent="0.5">
      <c r="A359" s="127">
        <v>373</v>
      </c>
      <c r="B359" s="99" t="s">
        <v>742</v>
      </c>
      <c r="C359" s="45" t="s">
        <v>1104</v>
      </c>
      <c r="D359" s="47">
        <v>71</v>
      </c>
      <c r="E359" s="171"/>
      <c r="F359" s="171"/>
      <c r="G359" s="171"/>
      <c r="H359" s="171"/>
      <c r="I359" s="171"/>
      <c r="J359" s="171"/>
      <c r="K359" s="171"/>
      <c r="L359" s="171">
        <v>6</v>
      </c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>
        <v>10</v>
      </c>
      <c r="X359" s="171">
        <v>3</v>
      </c>
      <c r="Y359" s="171"/>
      <c r="Z359" s="171"/>
      <c r="AA359" s="171"/>
      <c r="AB359" s="171"/>
      <c r="AC359" s="171"/>
      <c r="AD359" s="171"/>
      <c r="AE359" s="171"/>
      <c r="AF359" s="171"/>
      <c r="AG359" s="172">
        <f t="shared" si="7"/>
        <v>19</v>
      </c>
      <c r="AH359" s="173">
        <f>D359-AG359</f>
        <v>52</v>
      </c>
    </row>
    <row r="360" spans="1:35" ht="35.25" hidden="1" x14ac:dyDescent="0.5">
      <c r="A360" s="127">
        <v>374</v>
      </c>
      <c r="B360" s="98" t="s">
        <v>744</v>
      </c>
      <c r="C360" s="43" t="s">
        <v>745</v>
      </c>
      <c r="D360" s="44">
        <v>120</v>
      </c>
      <c r="E360" s="171">
        <v>7</v>
      </c>
      <c r="F360" s="171">
        <v>10</v>
      </c>
      <c r="G360" s="171"/>
      <c r="H360" s="171"/>
      <c r="I360" s="171"/>
      <c r="J360" s="171"/>
      <c r="K360" s="171"/>
      <c r="L360" s="171">
        <v>10</v>
      </c>
      <c r="M360" s="171"/>
      <c r="N360" s="171">
        <v>12</v>
      </c>
      <c r="O360" s="171"/>
      <c r="P360" s="171"/>
      <c r="Q360" s="171"/>
      <c r="R360" s="171"/>
      <c r="S360" s="171"/>
      <c r="T360" s="171"/>
      <c r="U360" s="171"/>
      <c r="V360" s="171"/>
      <c r="W360" s="171">
        <v>27</v>
      </c>
      <c r="X360" s="171">
        <f>20</f>
        <v>20</v>
      </c>
      <c r="Y360" s="171"/>
      <c r="Z360" s="171"/>
      <c r="AA360" s="171"/>
      <c r="AB360" s="171"/>
      <c r="AC360" s="171"/>
      <c r="AD360" s="171">
        <f>6+6</f>
        <v>12</v>
      </c>
      <c r="AE360" s="171"/>
      <c r="AF360" s="171">
        <v>6</v>
      </c>
      <c r="AG360" s="172">
        <f t="shared" si="7"/>
        <v>97</v>
      </c>
      <c r="AH360" s="173">
        <f>D360-AG360</f>
        <v>23</v>
      </c>
    </row>
    <row r="361" spans="1:35" ht="35.25" hidden="1" x14ac:dyDescent="0.5">
      <c r="A361" s="127">
        <v>375</v>
      </c>
      <c r="B361" s="98" t="s">
        <v>746</v>
      </c>
      <c r="C361" s="43" t="s">
        <v>747</v>
      </c>
      <c r="D361" s="44">
        <v>120</v>
      </c>
      <c r="E361" s="171">
        <v>10</v>
      </c>
      <c r="F361" s="171">
        <v>20</v>
      </c>
      <c r="G361" s="171"/>
      <c r="H361" s="171"/>
      <c r="I361" s="171"/>
      <c r="J361" s="171"/>
      <c r="K361" s="171"/>
      <c r="L361" s="171">
        <v>10</v>
      </c>
      <c r="M361" s="171"/>
      <c r="N361" s="171">
        <v>29</v>
      </c>
      <c r="O361" s="171"/>
      <c r="P361" s="171"/>
      <c r="Q361" s="171"/>
      <c r="R361" s="171"/>
      <c r="S361" s="171"/>
      <c r="T361" s="171"/>
      <c r="U361" s="171"/>
      <c r="V361" s="171"/>
      <c r="W361" s="171">
        <v>15</v>
      </c>
      <c r="X361" s="171">
        <f>15+1</f>
        <v>16</v>
      </c>
      <c r="Y361" s="171"/>
      <c r="Z361" s="171"/>
      <c r="AA361" s="171"/>
      <c r="AB361" s="171"/>
      <c r="AC361" s="171"/>
      <c r="AD361" s="171"/>
      <c r="AE361" s="171"/>
      <c r="AF361" s="171"/>
      <c r="AG361" s="172">
        <f t="shared" si="7"/>
        <v>90</v>
      </c>
      <c r="AH361" s="173">
        <f>D361-AG361</f>
        <v>30</v>
      </c>
    </row>
    <row r="362" spans="1:35" ht="35.25" hidden="1" x14ac:dyDescent="0.5">
      <c r="A362" s="127">
        <v>376</v>
      </c>
      <c r="B362" s="99" t="s">
        <v>748</v>
      </c>
      <c r="C362" s="46" t="s">
        <v>749</v>
      </c>
      <c r="D362" s="47">
        <v>192</v>
      </c>
      <c r="E362" s="171"/>
      <c r="F362" s="171"/>
      <c r="G362" s="171"/>
      <c r="H362" s="171"/>
      <c r="I362" s="171"/>
      <c r="J362" s="171">
        <f>27+22</f>
        <v>49</v>
      </c>
      <c r="K362" s="171"/>
      <c r="L362" s="171">
        <v>10</v>
      </c>
      <c r="M362" s="171"/>
      <c r="N362" s="171">
        <v>16</v>
      </c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>
        <v>10</v>
      </c>
      <c r="AD362" s="171"/>
      <c r="AE362" s="171"/>
      <c r="AF362" s="171"/>
      <c r="AG362" s="172">
        <f t="shared" si="7"/>
        <v>85</v>
      </c>
      <c r="AH362" s="173">
        <f>D362-AG362</f>
        <v>107</v>
      </c>
    </row>
    <row r="363" spans="1:35" ht="35.25" hidden="1" x14ac:dyDescent="0.5">
      <c r="A363" s="127">
        <v>377</v>
      </c>
      <c r="B363" s="99" t="s">
        <v>750</v>
      </c>
      <c r="C363" s="46" t="s">
        <v>751</v>
      </c>
      <c r="D363" s="47">
        <v>120</v>
      </c>
      <c r="E363" s="171"/>
      <c r="F363" s="171"/>
      <c r="G363" s="171"/>
      <c r="H363" s="171"/>
      <c r="I363" s="171"/>
      <c r="J363" s="171">
        <v>12</v>
      </c>
      <c r="K363" s="171"/>
      <c r="L363" s="171">
        <v>10</v>
      </c>
      <c r="M363" s="171"/>
      <c r="N363" s="171">
        <v>32</v>
      </c>
      <c r="O363" s="171"/>
      <c r="P363" s="171"/>
      <c r="Q363" s="171"/>
      <c r="R363" s="171"/>
      <c r="S363" s="171"/>
      <c r="T363" s="171"/>
      <c r="U363" s="171"/>
      <c r="V363" s="171"/>
      <c r="W363" s="171">
        <v>6</v>
      </c>
      <c r="X363" s="171"/>
      <c r="Y363" s="171"/>
      <c r="Z363" s="171"/>
      <c r="AA363" s="171"/>
      <c r="AB363" s="171"/>
      <c r="AC363" s="171">
        <v>6</v>
      </c>
      <c r="AD363" s="171"/>
      <c r="AE363" s="171"/>
      <c r="AF363" s="171"/>
      <c r="AG363" s="172">
        <f t="shared" ref="AG363:AG406" si="8">SUM(F363:AF363)</f>
        <v>66</v>
      </c>
      <c r="AH363" s="173">
        <f>D363-AG363</f>
        <v>54</v>
      </c>
    </row>
    <row r="364" spans="1:35" ht="35.25" hidden="1" x14ac:dyDescent="0.5">
      <c r="A364" s="127">
        <v>378</v>
      </c>
      <c r="B364" s="99" t="s">
        <v>753</v>
      </c>
      <c r="C364" s="46" t="s">
        <v>754</v>
      </c>
      <c r="D364" s="47">
        <v>30</v>
      </c>
      <c r="E364" s="171"/>
      <c r="F364" s="171"/>
      <c r="G364" s="171"/>
      <c r="H364" s="171"/>
      <c r="I364" s="171"/>
      <c r="J364" s="171"/>
      <c r="K364" s="171"/>
      <c r="L364" s="171"/>
      <c r="M364" s="171"/>
      <c r="N364" s="171">
        <v>28</v>
      </c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  <c r="AG364" s="172">
        <f t="shared" si="8"/>
        <v>28</v>
      </c>
      <c r="AH364" s="173">
        <f>D364-AG364</f>
        <v>2</v>
      </c>
    </row>
    <row r="365" spans="1:35" ht="35.25" hidden="1" x14ac:dyDescent="0.5">
      <c r="A365" s="127">
        <v>379</v>
      </c>
      <c r="B365" s="98" t="s">
        <v>757</v>
      </c>
      <c r="C365" s="43" t="s">
        <v>758</v>
      </c>
      <c r="D365" s="44">
        <v>120</v>
      </c>
      <c r="E365" s="171"/>
      <c r="F365" s="171"/>
      <c r="G365" s="171"/>
      <c r="H365" s="171"/>
      <c r="I365" s="171"/>
      <c r="J365" s="171"/>
      <c r="K365" s="171"/>
      <c r="L365" s="171"/>
      <c r="M365" s="171"/>
      <c r="N365" s="171">
        <v>52</v>
      </c>
      <c r="O365" s="171"/>
      <c r="P365" s="171"/>
      <c r="Q365" s="171"/>
      <c r="R365" s="171"/>
      <c r="S365" s="171"/>
      <c r="T365" s="171"/>
      <c r="U365" s="171"/>
      <c r="V365" s="171"/>
      <c r="W365" s="171">
        <v>20</v>
      </c>
      <c r="X365" s="171">
        <f>20</f>
        <v>20</v>
      </c>
      <c r="Y365" s="171"/>
      <c r="Z365" s="171"/>
      <c r="AA365" s="171"/>
      <c r="AB365" s="171"/>
      <c r="AC365" s="171">
        <v>21</v>
      </c>
      <c r="AD365" s="171"/>
      <c r="AE365" s="171"/>
      <c r="AF365" s="171"/>
      <c r="AG365" s="172">
        <f t="shared" si="8"/>
        <v>113</v>
      </c>
      <c r="AH365" s="173">
        <f>D365-AG365</f>
        <v>7</v>
      </c>
    </row>
    <row r="366" spans="1:35" ht="35.25" hidden="1" x14ac:dyDescent="0.5">
      <c r="A366" s="127">
        <v>380</v>
      </c>
      <c r="B366" s="98" t="s">
        <v>759</v>
      </c>
      <c r="C366" s="43" t="s">
        <v>760</v>
      </c>
      <c r="D366" s="44">
        <v>60</v>
      </c>
      <c r="E366" s="171"/>
      <c r="F366" s="171"/>
      <c r="G366" s="171"/>
      <c r="H366" s="171"/>
      <c r="I366" s="171"/>
      <c r="J366" s="171"/>
      <c r="K366" s="171"/>
      <c r="L366" s="171"/>
      <c r="M366" s="171"/>
      <c r="N366" s="171">
        <v>11</v>
      </c>
      <c r="O366" s="171"/>
      <c r="P366" s="171"/>
      <c r="Q366" s="171"/>
      <c r="R366" s="171"/>
      <c r="S366" s="171"/>
      <c r="T366" s="171"/>
      <c r="U366" s="171"/>
      <c r="V366" s="171"/>
      <c r="W366" s="171">
        <v>32</v>
      </c>
      <c r="X366" s="171">
        <f>20</f>
        <v>20</v>
      </c>
      <c r="Y366" s="171"/>
      <c r="Z366" s="171"/>
      <c r="AA366" s="171"/>
      <c r="AB366" s="171"/>
      <c r="AC366" s="171"/>
      <c r="AD366" s="171"/>
      <c r="AE366" s="171"/>
      <c r="AF366" s="171"/>
      <c r="AG366" s="172">
        <f t="shared" si="8"/>
        <v>63</v>
      </c>
      <c r="AH366" s="173">
        <f>D366-AG366</f>
        <v>-3</v>
      </c>
    </row>
    <row r="367" spans="1:35" ht="35.25" hidden="1" x14ac:dyDescent="0.5">
      <c r="A367" s="127">
        <v>381</v>
      </c>
      <c r="B367" s="98" t="s">
        <v>761</v>
      </c>
      <c r="C367" s="43" t="s">
        <v>762</v>
      </c>
      <c r="D367" s="44">
        <v>60</v>
      </c>
      <c r="E367" s="171"/>
      <c r="F367" s="171"/>
      <c r="G367" s="171"/>
      <c r="H367" s="171"/>
      <c r="I367" s="171"/>
      <c r="J367" s="171"/>
      <c r="K367" s="171"/>
      <c r="L367" s="171"/>
      <c r="M367" s="171"/>
      <c r="N367" s="171">
        <v>32</v>
      </c>
      <c r="O367" s="171"/>
      <c r="P367" s="171"/>
      <c r="Q367" s="171"/>
      <c r="R367" s="171"/>
      <c r="S367" s="171"/>
      <c r="T367" s="171"/>
      <c r="U367" s="171"/>
      <c r="V367" s="171"/>
      <c r="W367" s="171">
        <v>6</v>
      </c>
      <c r="X367" s="171">
        <v>20</v>
      </c>
      <c r="Y367" s="171"/>
      <c r="Z367" s="171"/>
      <c r="AA367" s="171"/>
      <c r="AB367" s="171"/>
      <c r="AC367" s="171"/>
      <c r="AD367" s="171"/>
      <c r="AE367" s="171"/>
      <c r="AF367" s="171">
        <v>6</v>
      </c>
      <c r="AG367" s="172">
        <f t="shared" si="8"/>
        <v>64</v>
      </c>
      <c r="AH367" s="173">
        <f>D367-AG367</f>
        <v>-4</v>
      </c>
    </row>
    <row r="368" spans="1:35" ht="35.25" hidden="1" x14ac:dyDescent="0.5">
      <c r="A368" s="127">
        <v>382</v>
      </c>
      <c r="B368" s="100" t="s">
        <v>765</v>
      </c>
      <c r="C368" s="43" t="s">
        <v>766</v>
      </c>
      <c r="D368" s="44">
        <v>60</v>
      </c>
      <c r="E368" s="171"/>
      <c r="F368" s="171"/>
      <c r="G368" s="171"/>
      <c r="H368" s="171"/>
      <c r="I368" s="171"/>
      <c r="J368" s="171"/>
      <c r="K368" s="171"/>
      <c r="L368" s="171">
        <v>10</v>
      </c>
      <c r="M368" s="171"/>
      <c r="N368" s="171">
        <v>11</v>
      </c>
      <c r="O368" s="171"/>
      <c r="P368" s="171"/>
      <c r="Q368" s="171"/>
      <c r="R368" s="171"/>
      <c r="S368" s="171"/>
      <c r="T368" s="171"/>
      <c r="U368" s="171"/>
      <c r="V368" s="171"/>
      <c r="W368" s="171">
        <v>38</v>
      </c>
      <c r="X368" s="171">
        <f>20</f>
        <v>20</v>
      </c>
      <c r="Y368" s="171"/>
      <c r="Z368" s="171"/>
      <c r="AA368" s="171"/>
      <c r="AB368" s="171"/>
      <c r="AC368" s="171"/>
      <c r="AD368" s="171"/>
      <c r="AE368" s="171"/>
      <c r="AF368" s="171"/>
      <c r="AG368" s="172">
        <f t="shared" si="8"/>
        <v>79</v>
      </c>
      <c r="AH368" s="174">
        <f>D368-AG368</f>
        <v>-19</v>
      </c>
      <c r="AI368">
        <v>19</v>
      </c>
    </row>
    <row r="369" spans="1:34" ht="35.25" hidden="1" x14ac:dyDescent="0.5">
      <c r="A369" s="127">
        <v>383</v>
      </c>
      <c r="B369" s="100" t="s">
        <v>767</v>
      </c>
      <c r="C369" s="43" t="s">
        <v>768</v>
      </c>
      <c r="D369" s="44">
        <v>6</v>
      </c>
      <c r="E369" s="171"/>
      <c r="F369" s="171"/>
      <c r="G369" s="171"/>
      <c r="H369" s="171"/>
      <c r="I369" s="171"/>
      <c r="J369" s="171"/>
      <c r="K369" s="171"/>
      <c r="L369" s="171">
        <v>1</v>
      </c>
      <c r="M369" s="171"/>
      <c r="N369" s="171">
        <v>3</v>
      </c>
      <c r="O369" s="171"/>
      <c r="P369" s="171"/>
      <c r="Q369" s="171"/>
      <c r="R369" s="171"/>
      <c r="S369" s="171"/>
      <c r="T369" s="171"/>
      <c r="U369" s="171"/>
      <c r="V369" s="171"/>
      <c r="W369" s="171">
        <v>6</v>
      </c>
      <c r="X369" s="171"/>
      <c r="Y369" s="171"/>
      <c r="Z369" s="171"/>
      <c r="AA369" s="171"/>
      <c r="AB369" s="171"/>
      <c r="AC369" s="171"/>
      <c r="AD369" s="171"/>
      <c r="AE369" s="171"/>
      <c r="AF369" s="171"/>
      <c r="AG369" s="172">
        <f t="shared" si="8"/>
        <v>10</v>
      </c>
      <c r="AH369" s="173">
        <f>D369-AG369</f>
        <v>-4</v>
      </c>
    </row>
    <row r="370" spans="1:34" ht="35.25" hidden="1" x14ac:dyDescent="0.5">
      <c r="A370" s="127">
        <v>384</v>
      </c>
      <c r="B370" s="100" t="s">
        <v>769</v>
      </c>
      <c r="C370" s="43" t="s">
        <v>770</v>
      </c>
      <c r="D370" s="44">
        <v>18</v>
      </c>
      <c r="E370" s="171"/>
      <c r="F370" s="171"/>
      <c r="G370" s="171"/>
      <c r="H370" s="171"/>
      <c r="I370" s="171"/>
      <c r="J370" s="171"/>
      <c r="K370" s="171"/>
      <c r="L370" s="171">
        <v>1</v>
      </c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>
        <v>3</v>
      </c>
      <c r="X370" s="171">
        <v>3</v>
      </c>
      <c r="Y370" s="171"/>
      <c r="Z370" s="171"/>
      <c r="AA370" s="171"/>
      <c r="AB370" s="171"/>
      <c r="AC370" s="171"/>
      <c r="AD370" s="171"/>
      <c r="AE370" s="171"/>
      <c r="AF370" s="171"/>
      <c r="AG370" s="172">
        <f t="shared" si="8"/>
        <v>7</v>
      </c>
      <c r="AH370" s="173">
        <f>D370-AG370</f>
        <v>11</v>
      </c>
    </row>
    <row r="371" spans="1:34" ht="35.25" hidden="1" x14ac:dyDescent="0.5">
      <c r="A371" s="127">
        <v>385</v>
      </c>
      <c r="B371" s="100" t="s">
        <v>771</v>
      </c>
      <c r="C371" s="43" t="s">
        <v>772</v>
      </c>
      <c r="D371" s="44">
        <v>276</v>
      </c>
      <c r="E371" s="171"/>
      <c r="F371" s="171"/>
      <c r="G371" s="171"/>
      <c r="H371" s="171"/>
      <c r="I371" s="171"/>
      <c r="J371" s="171"/>
      <c r="K371" s="171"/>
      <c r="L371" s="171"/>
      <c r="M371" s="171"/>
      <c r="N371" s="171">
        <v>6</v>
      </c>
      <c r="O371" s="171"/>
      <c r="P371" s="171"/>
      <c r="Q371" s="171">
        <v>20</v>
      </c>
      <c r="R371" s="171">
        <v>10</v>
      </c>
      <c r="S371" s="171"/>
      <c r="T371" s="171"/>
      <c r="U371" s="171"/>
      <c r="V371" s="171"/>
      <c r="W371" s="171">
        <f>4+10</f>
        <v>14</v>
      </c>
      <c r="X371" s="171">
        <f>17+1</f>
        <v>18</v>
      </c>
      <c r="Y371" s="171">
        <v>2</v>
      </c>
      <c r="Z371" s="171"/>
      <c r="AA371" s="171"/>
      <c r="AB371" s="171"/>
      <c r="AC371" s="171"/>
      <c r="AD371" s="171">
        <v>7</v>
      </c>
      <c r="AE371" s="171">
        <v>6</v>
      </c>
      <c r="AF371" s="171">
        <v>13</v>
      </c>
      <c r="AG371" s="172">
        <f t="shared" si="8"/>
        <v>96</v>
      </c>
      <c r="AH371" s="173">
        <f>D371-AG371</f>
        <v>180</v>
      </c>
    </row>
    <row r="372" spans="1:34" ht="35.25" hidden="1" x14ac:dyDescent="0.5">
      <c r="A372" s="127">
        <v>386</v>
      </c>
      <c r="B372" s="100" t="s">
        <v>773</v>
      </c>
      <c r="C372" s="43" t="s">
        <v>774</v>
      </c>
      <c r="D372" s="44">
        <v>60</v>
      </c>
      <c r="E372" s="171"/>
      <c r="F372" s="171"/>
      <c r="G372" s="171"/>
      <c r="H372" s="171"/>
      <c r="I372" s="171"/>
      <c r="J372" s="171"/>
      <c r="K372" s="171"/>
      <c r="L372" s="171"/>
      <c r="M372" s="171"/>
      <c r="N372" s="171">
        <f>6+6</f>
        <v>12</v>
      </c>
      <c r="O372" s="171"/>
      <c r="P372" s="171"/>
      <c r="Q372" s="171"/>
      <c r="R372" s="171">
        <v>10</v>
      </c>
      <c r="S372" s="171"/>
      <c r="T372" s="171"/>
      <c r="U372" s="171"/>
      <c r="V372" s="171"/>
      <c r="W372" s="171">
        <v>8</v>
      </c>
      <c r="X372" s="171">
        <f>20</f>
        <v>20</v>
      </c>
      <c r="Y372" s="171"/>
      <c r="Z372" s="171"/>
      <c r="AA372" s="171"/>
      <c r="AB372" s="171"/>
      <c r="AC372" s="171"/>
      <c r="AD372" s="171"/>
      <c r="AE372" s="171"/>
      <c r="AF372" s="171"/>
      <c r="AG372" s="172">
        <f t="shared" si="8"/>
        <v>50</v>
      </c>
      <c r="AH372" s="173">
        <f>D372-AG372</f>
        <v>10</v>
      </c>
    </row>
    <row r="373" spans="1:34" ht="35.25" hidden="1" x14ac:dyDescent="0.5">
      <c r="A373" s="127">
        <v>387</v>
      </c>
      <c r="B373" s="100" t="s">
        <v>775</v>
      </c>
      <c r="C373" s="43" t="s">
        <v>776</v>
      </c>
      <c r="D373" s="44">
        <v>60</v>
      </c>
      <c r="E373" s="171"/>
      <c r="F373" s="171"/>
      <c r="G373" s="171"/>
      <c r="H373" s="171"/>
      <c r="I373" s="171"/>
      <c r="J373" s="171"/>
      <c r="K373" s="171"/>
      <c r="L373" s="171"/>
      <c r="M373" s="171"/>
      <c r="N373" s="171">
        <v>3</v>
      </c>
      <c r="O373" s="171"/>
      <c r="P373" s="171"/>
      <c r="Q373" s="171"/>
      <c r="R373" s="171">
        <v>5</v>
      </c>
      <c r="S373" s="171"/>
      <c r="T373" s="171"/>
      <c r="U373" s="171"/>
      <c r="V373" s="171"/>
      <c r="W373" s="171">
        <v>4</v>
      </c>
      <c r="X373" s="171">
        <v>10</v>
      </c>
      <c r="Y373" s="171"/>
      <c r="Z373" s="171"/>
      <c r="AA373" s="171"/>
      <c r="AB373" s="171"/>
      <c r="AC373" s="171"/>
      <c r="AD373" s="171"/>
      <c r="AE373" s="171"/>
      <c r="AF373" s="171"/>
      <c r="AG373" s="172">
        <f t="shared" si="8"/>
        <v>22</v>
      </c>
      <c r="AH373" s="173">
        <f>D373-AG373</f>
        <v>38</v>
      </c>
    </row>
    <row r="374" spans="1:34" ht="35.25" hidden="1" x14ac:dyDescent="0.5">
      <c r="A374" s="127">
        <v>388</v>
      </c>
      <c r="B374" s="100" t="s">
        <v>777</v>
      </c>
      <c r="C374" s="43" t="s">
        <v>778</v>
      </c>
      <c r="D374" s="44">
        <v>44</v>
      </c>
      <c r="E374" s="171"/>
      <c r="F374" s="171"/>
      <c r="G374" s="171"/>
      <c r="H374" s="171"/>
      <c r="I374" s="171"/>
      <c r="J374" s="171"/>
      <c r="K374" s="171"/>
      <c r="L374" s="171"/>
      <c r="M374" s="171"/>
      <c r="N374" s="171">
        <v>3</v>
      </c>
      <c r="O374" s="171"/>
      <c r="P374" s="171"/>
      <c r="Q374" s="171"/>
      <c r="R374" s="171">
        <v>5</v>
      </c>
      <c r="S374" s="171"/>
      <c r="T374" s="171"/>
      <c r="U374" s="171"/>
      <c r="V374" s="171"/>
      <c r="W374" s="171">
        <v>4</v>
      </c>
      <c r="X374" s="171">
        <v>10</v>
      </c>
      <c r="Y374" s="171"/>
      <c r="Z374" s="171"/>
      <c r="AA374" s="171"/>
      <c r="AB374" s="171"/>
      <c r="AC374" s="171"/>
      <c r="AD374" s="171"/>
      <c r="AE374" s="171"/>
      <c r="AF374" s="171"/>
      <c r="AG374" s="172">
        <f t="shared" si="8"/>
        <v>22</v>
      </c>
      <c r="AH374" s="173">
        <f>D374-AG374</f>
        <v>22</v>
      </c>
    </row>
    <row r="375" spans="1:34" ht="35.25" hidden="1" x14ac:dyDescent="0.5">
      <c r="A375" s="127">
        <v>389</v>
      </c>
      <c r="B375" s="100" t="s">
        <v>779</v>
      </c>
      <c r="C375" s="43" t="s">
        <v>780</v>
      </c>
      <c r="D375" s="44">
        <v>20</v>
      </c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>
        <v>5</v>
      </c>
      <c r="S375" s="171"/>
      <c r="T375" s="171"/>
      <c r="U375" s="171"/>
      <c r="V375" s="171"/>
      <c r="W375" s="171"/>
      <c r="X375" s="171">
        <v>10</v>
      </c>
      <c r="Y375" s="171"/>
      <c r="Z375" s="171"/>
      <c r="AA375" s="171"/>
      <c r="AB375" s="171"/>
      <c r="AC375" s="171"/>
      <c r="AD375" s="171"/>
      <c r="AE375" s="171"/>
      <c r="AF375" s="171"/>
      <c r="AG375" s="172">
        <f t="shared" si="8"/>
        <v>15</v>
      </c>
      <c r="AH375" s="173">
        <f>D375-AG375</f>
        <v>5</v>
      </c>
    </row>
    <row r="376" spans="1:34" ht="35.25" hidden="1" x14ac:dyDescent="0.5">
      <c r="A376" s="127">
        <v>390</v>
      </c>
      <c r="B376" s="100" t="s">
        <v>781</v>
      </c>
      <c r="C376" s="43" t="s">
        <v>782</v>
      </c>
      <c r="D376" s="44">
        <v>45</v>
      </c>
      <c r="E376" s="171"/>
      <c r="F376" s="171"/>
      <c r="G376" s="171"/>
      <c r="H376" s="171"/>
      <c r="I376" s="171"/>
      <c r="J376" s="171"/>
      <c r="K376" s="171"/>
      <c r="L376" s="171"/>
      <c r="M376" s="171"/>
      <c r="N376" s="171">
        <v>14</v>
      </c>
      <c r="O376" s="171"/>
      <c r="P376" s="171"/>
      <c r="Q376" s="171"/>
      <c r="R376" s="171"/>
      <c r="S376" s="171"/>
      <c r="T376" s="171"/>
      <c r="U376" s="171"/>
      <c r="V376" s="171"/>
      <c r="W376" s="171"/>
      <c r="X376" s="171">
        <v>6</v>
      </c>
      <c r="Y376" s="171"/>
      <c r="Z376" s="171"/>
      <c r="AA376" s="171"/>
      <c r="AB376" s="171"/>
      <c r="AC376" s="171"/>
      <c r="AD376" s="171"/>
      <c r="AE376" s="171"/>
      <c r="AF376" s="171"/>
      <c r="AG376" s="172">
        <f t="shared" si="8"/>
        <v>20</v>
      </c>
      <c r="AH376" s="173">
        <f>D376-AG376</f>
        <v>25</v>
      </c>
    </row>
    <row r="377" spans="1:34" ht="35.25" hidden="1" x14ac:dyDescent="0.5">
      <c r="A377" s="127">
        <v>391</v>
      </c>
      <c r="B377" s="100" t="s">
        <v>783</v>
      </c>
      <c r="C377" s="43" t="s">
        <v>784</v>
      </c>
      <c r="D377" s="44">
        <v>20</v>
      </c>
      <c r="E377" s="171"/>
      <c r="F377" s="171"/>
      <c r="G377" s="171"/>
      <c r="H377" s="171"/>
      <c r="I377" s="171"/>
      <c r="J377" s="171"/>
      <c r="K377" s="171"/>
      <c r="L377" s="171"/>
      <c r="M377" s="171"/>
      <c r="N377" s="171">
        <v>14</v>
      </c>
      <c r="O377" s="171"/>
      <c r="P377" s="171"/>
      <c r="Q377" s="171"/>
      <c r="R377" s="171"/>
      <c r="S377" s="171"/>
      <c r="T377" s="171"/>
      <c r="U377" s="171"/>
      <c r="V377" s="171"/>
      <c r="W377" s="171"/>
      <c r="X377" s="171">
        <v>6</v>
      </c>
      <c r="Y377" s="171"/>
      <c r="Z377" s="171"/>
      <c r="AA377" s="171"/>
      <c r="AB377" s="171"/>
      <c r="AC377" s="171"/>
      <c r="AD377" s="171"/>
      <c r="AE377" s="171"/>
      <c r="AF377" s="171"/>
      <c r="AG377" s="172">
        <f t="shared" si="8"/>
        <v>20</v>
      </c>
      <c r="AH377" s="173">
        <f>D377-AG377</f>
        <v>0</v>
      </c>
    </row>
    <row r="378" spans="1:34" ht="35.25" hidden="1" x14ac:dyDescent="0.5">
      <c r="A378" s="127">
        <v>392</v>
      </c>
      <c r="B378" s="98" t="s">
        <v>785</v>
      </c>
      <c r="C378" s="43" t="s">
        <v>786</v>
      </c>
      <c r="D378" s="44">
        <v>30</v>
      </c>
      <c r="E378" s="171"/>
      <c r="F378" s="171"/>
      <c r="G378" s="171"/>
      <c r="H378" s="171"/>
      <c r="I378" s="171"/>
      <c r="J378" s="171"/>
      <c r="K378" s="171"/>
      <c r="L378" s="171"/>
      <c r="M378" s="171"/>
      <c r="N378" s="171">
        <v>1</v>
      </c>
      <c r="O378" s="171"/>
      <c r="P378" s="171"/>
      <c r="Q378" s="171"/>
      <c r="R378" s="171"/>
      <c r="S378" s="171">
        <v>1</v>
      </c>
      <c r="T378" s="171"/>
      <c r="U378" s="171"/>
      <c r="V378" s="171"/>
      <c r="W378" s="171">
        <v>2</v>
      </c>
      <c r="X378" s="171">
        <v>10</v>
      </c>
      <c r="Y378" s="171"/>
      <c r="Z378" s="171"/>
      <c r="AA378" s="171"/>
      <c r="AB378" s="171"/>
      <c r="AC378" s="171"/>
      <c r="AD378" s="171"/>
      <c r="AE378" s="171"/>
      <c r="AF378" s="171">
        <v>2</v>
      </c>
      <c r="AG378" s="172">
        <f t="shared" si="8"/>
        <v>16</v>
      </c>
      <c r="AH378" s="173">
        <f>D378-AG378</f>
        <v>14</v>
      </c>
    </row>
    <row r="379" spans="1:34" ht="35.25" hidden="1" x14ac:dyDescent="0.5">
      <c r="A379" s="127">
        <v>393</v>
      </c>
      <c r="B379" s="98" t="s">
        <v>787</v>
      </c>
      <c r="C379" s="43" t="s">
        <v>788</v>
      </c>
      <c r="D379" s="44">
        <v>6</v>
      </c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>
        <v>3</v>
      </c>
      <c r="Y379" s="171"/>
      <c r="Z379" s="171"/>
      <c r="AA379" s="171"/>
      <c r="AB379" s="171"/>
      <c r="AC379" s="171"/>
      <c r="AD379" s="171"/>
      <c r="AE379" s="171"/>
      <c r="AF379" s="171"/>
      <c r="AG379" s="172">
        <f t="shared" si="8"/>
        <v>3</v>
      </c>
      <c r="AH379" s="173">
        <f>D379-AG379</f>
        <v>3</v>
      </c>
    </row>
    <row r="380" spans="1:34" ht="35.25" hidden="1" x14ac:dyDescent="0.5">
      <c r="A380" s="127">
        <v>394</v>
      </c>
      <c r="B380" s="98" t="s">
        <v>789</v>
      </c>
      <c r="C380" s="43" t="s">
        <v>790</v>
      </c>
      <c r="D380" s="44">
        <v>20</v>
      </c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>
        <v>15</v>
      </c>
      <c r="R380" s="171"/>
      <c r="S380" s="171"/>
      <c r="T380" s="171"/>
      <c r="U380" s="171"/>
      <c r="V380" s="171"/>
      <c r="W380" s="171">
        <v>4</v>
      </c>
      <c r="X380" s="171">
        <v>10</v>
      </c>
      <c r="Y380" s="171"/>
      <c r="Z380" s="171"/>
      <c r="AA380" s="171"/>
      <c r="AB380" s="171"/>
      <c r="AC380" s="171"/>
      <c r="AD380" s="171"/>
      <c r="AE380" s="171"/>
      <c r="AF380" s="171"/>
      <c r="AG380" s="172">
        <f t="shared" si="8"/>
        <v>29</v>
      </c>
      <c r="AH380" s="173">
        <f>D380-AG380</f>
        <v>-9</v>
      </c>
    </row>
    <row r="381" spans="1:34" ht="35.25" hidden="1" x14ac:dyDescent="0.5">
      <c r="A381" s="127">
        <v>395</v>
      </c>
      <c r="B381" s="98" t="s">
        <v>791</v>
      </c>
      <c r="C381" s="43" t="s">
        <v>792</v>
      </c>
      <c r="D381" s="44">
        <v>20</v>
      </c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>
        <v>5</v>
      </c>
      <c r="S381" s="171"/>
      <c r="T381" s="171"/>
      <c r="U381" s="171"/>
      <c r="V381" s="171"/>
      <c r="W381" s="171">
        <v>16</v>
      </c>
      <c r="X381" s="171">
        <v>10</v>
      </c>
      <c r="Y381" s="171"/>
      <c r="Z381" s="171"/>
      <c r="AA381" s="171"/>
      <c r="AB381" s="171"/>
      <c r="AC381" s="171"/>
      <c r="AD381" s="171"/>
      <c r="AE381" s="171"/>
      <c r="AF381" s="171"/>
      <c r="AG381" s="172">
        <f t="shared" si="8"/>
        <v>31</v>
      </c>
      <c r="AH381" s="173">
        <f>D381-AG381</f>
        <v>-11</v>
      </c>
    </row>
    <row r="382" spans="1:34" ht="35.25" hidden="1" x14ac:dyDescent="0.5">
      <c r="A382" s="127">
        <v>396</v>
      </c>
      <c r="B382" s="98" t="s">
        <v>793</v>
      </c>
      <c r="C382" s="43" t="s">
        <v>794</v>
      </c>
      <c r="D382" s="44">
        <v>28</v>
      </c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>
        <v>14</v>
      </c>
      <c r="S382" s="171"/>
      <c r="T382" s="171"/>
      <c r="U382" s="171"/>
      <c r="V382" s="171"/>
      <c r="W382" s="171"/>
      <c r="X382" s="171">
        <v>14</v>
      </c>
      <c r="Y382" s="171"/>
      <c r="Z382" s="171"/>
      <c r="AA382" s="171"/>
      <c r="AB382" s="171"/>
      <c r="AC382" s="171"/>
      <c r="AD382" s="171"/>
      <c r="AE382" s="171"/>
      <c r="AF382" s="171"/>
      <c r="AG382" s="172">
        <f t="shared" si="8"/>
        <v>28</v>
      </c>
      <c r="AH382" s="173">
        <f>D382-AG382</f>
        <v>0</v>
      </c>
    </row>
    <row r="383" spans="1:34" ht="35.25" hidden="1" x14ac:dyDescent="0.5">
      <c r="A383" s="127">
        <v>397</v>
      </c>
      <c r="B383" s="98" t="s">
        <v>795</v>
      </c>
      <c r="C383" s="43" t="s">
        <v>796</v>
      </c>
      <c r="D383" s="44">
        <v>28</v>
      </c>
      <c r="E383" s="171"/>
      <c r="F383" s="171"/>
      <c r="G383" s="171"/>
      <c r="H383" s="171"/>
      <c r="I383" s="171"/>
      <c r="J383" s="171">
        <v>5</v>
      </c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>
        <v>28</v>
      </c>
      <c r="Y383" s="171"/>
      <c r="Z383" s="171"/>
      <c r="AA383" s="171"/>
      <c r="AB383" s="171"/>
      <c r="AC383" s="171"/>
      <c r="AD383" s="171"/>
      <c r="AE383" s="171"/>
      <c r="AF383" s="171"/>
      <c r="AG383" s="172">
        <f t="shared" si="8"/>
        <v>33</v>
      </c>
      <c r="AH383" s="173">
        <f>D383-AG383</f>
        <v>-5</v>
      </c>
    </row>
    <row r="384" spans="1:34" ht="35.25" hidden="1" x14ac:dyDescent="0.5">
      <c r="A384" s="127">
        <v>398</v>
      </c>
      <c r="B384" s="98" t="s">
        <v>709</v>
      </c>
      <c r="C384" s="43" t="s">
        <v>797</v>
      </c>
      <c r="D384" s="44">
        <v>1</v>
      </c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  <c r="AE384" s="171"/>
      <c r="AF384" s="171"/>
      <c r="AG384" s="172">
        <f t="shared" si="8"/>
        <v>0</v>
      </c>
      <c r="AH384" s="173">
        <f>D384-AG384</f>
        <v>1</v>
      </c>
    </row>
    <row r="385" spans="1:35" ht="35.25" hidden="1" x14ac:dyDescent="0.5">
      <c r="A385" s="127">
        <v>399</v>
      </c>
      <c r="B385" s="98" t="s">
        <v>752</v>
      </c>
      <c r="C385" s="43" t="s">
        <v>798</v>
      </c>
      <c r="D385" s="44">
        <v>30</v>
      </c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>
        <v>15</v>
      </c>
      <c r="S385" s="171"/>
      <c r="T385" s="171"/>
      <c r="U385" s="171"/>
      <c r="V385" s="171"/>
      <c r="W385" s="171"/>
      <c r="X385" s="171">
        <v>15</v>
      </c>
      <c r="Y385" s="171"/>
      <c r="Z385" s="171"/>
      <c r="AA385" s="171"/>
      <c r="AB385" s="171"/>
      <c r="AC385" s="171"/>
      <c r="AD385" s="171"/>
      <c r="AE385" s="171"/>
      <c r="AF385" s="171"/>
      <c r="AG385" s="172">
        <f t="shared" si="8"/>
        <v>30</v>
      </c>
      <c r="AH385" s="173">
        <f>D385-AG385</f>
        <v>0</v>
      </c>
    </row>
    <row r="386" spans="1:35" ht="35.25" hidden="1" x14ac:dyDescent="0.5">
      <c r="A386" s="127">
        <v>400</v>
      </c>
      <c r="B386" s="98" t="s">
        <v>800</v>
      </c>
      <c r="C386" s="43" t="s">
        <v>801</v>
      </c>
      <c r="D386" s="44">
        <v>24</v>
      </c>
      <c r="E386" s="171"/>
      <c r="F386" s="171"/>
      <c r="G386" s="171"/>
      <c r="H386" s="171"/>
      <c r="I386" s="171">
        <v>5</v>
      </c>
      <c r="J386" s="171"/>
      <c r="K386" s="171"/>
      <c r="L386" s="171"/>
      <c r="M386" s="171"/>
      <c r="N386" s="171"/>
      <c r="O386" s="171"/>
      <c r="P386" s="171"/>
      <c r="Q386" s="171">
        <v>13</v>
      </c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  <c r="AF386" s="171"/>
      <c r="AG386" s="172">
        <f t="shared" si="8"/>
        <v>18</v>
      </c>
      <c r="AH386" s="173">
        <f>D386-AG386</f>
        <v>6</v>
      </c>
    </row>
    <row r="387" spans="1:35" ht="35.25" hidden="1" x14ac:dyDescent="0.5">
      <c r="A387" s="127">
        <v>401</v>
      </c>
      <c r="B387" s="98" t="s">
        <v>803</v>
      </c>
      <c r="C387" s="43" t="s">
        <v>804</v>
      </c>
      <c r="D387" s="44">
        <v>20</v>
      </c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>
        <v>1</v>
      </c>
      <c r="R387" s="171"/>
      <c r="S387" s="171"/>
      <c r="T387" s="171"/>
      <c r="U387" s="171"/>
      <c r="V387" s="171"/>
      <c r="W387" s="171">
        <v>3</v>
      </c>
      <c r="X387" s="171"/>
      <c r="Y387" s="171"/>
      <c r="Z387" s="171"/>
      <c r="AA387" s="171"/>
      <c r="AB387" s="171">
        <v>2</v>
      </c>
      <c r="AC387" s="171"/>
      <c r="AD387" s="171"/>
      <c r="AE387" s="171"/>
      <c r="AF387" s="171"/>
      <c r="AG387" s="172">
        <f t="shared" si="8"/>
        <v>6</v>
      </c>
      <c r="AH387" s="173">
        <f>D387-AG387</f>
        <v>14</v>
      </c>
    </row>
    <row r="388" spans="1:35" ht="35.25" hidden="1" x14ac:dyDescent="0.5">
      <c r="A388" s="127">
        <v>402</v>
      </c>
      <c r="B388" s="98" t="s">
        <v>805</v>
      </c>
      <c r="C388" s="43" t="s">
        <v>806</v>
      </c>
      <c r="D388" s="44">
        <v>20</v>
      </c>
      <c r="E388" s="171"/>
      <c r="F388" s="171"/>
      <c r="G388" s="171"/>
      <c r="H388" s="171"/>
      <c r="I388" s="171"/>
      <c r="J388" s="171"/>
      <c r="K388" s="171"/>
      <c r="L388" s="171"/>
      <c r="M388" s="171">
        <v>3</v>
      </c>
      <c r="N388" s="171"/>
      <c r="O388" s="171"/>
      <c r="P388" s="171"/>
      <c r="Q388" s="171">
        <v>10</v>
      </c>
      <c r="R388" s="171">
        <v>5</v>
      </c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2">
        <f t="shared" si="8"/>
        <v>18</v>
      </c>
      <c r="AH388" s="173">
        <f>D388-AG388</f>
        <v>2</v>
      </c>
    </row>
    <row r="389" spans="1:35" ht="35.25" hidden="1" x14ac:dyDescent="0.5">
      <c r="A389" s="127">
        <v>403</v>
      </c>
      <c r="B389" s="101" t="s">
        <v>812</v>
      </c>
      <c r="C389" s="49" t="s">
        <v>813</v>
      </c>
      <c r="D389" s="132">
        <v>26</v>
      </c>
      <c r="E389" s="171"/>
      <c r="F389" s="171"/>
      <c r="G389" s="171"/>
      <c r="H389" s="171"/>
      <c r="I389" s="171">
        <v>1</v>
      </c>
      <c r="J389" s="171">
        <v>10</v>
      </c>
      <c r="K389" s="171"/>
      <c r="L389" s="171"/>
      <c r="M389" s="171">
        <v>1</v>
      </c>
      <c r="N389" s="171">
        <v>1</v>
      </c>
      <c r="O389" s="171"/>
      <c r="P389" s="171"/>
      <c r="Q389" s="171"/>
      <c r="R389" s="171">
        <f>1+1</f>
        <v>2</v>
      </c>
      <c r="S389" s="171"/>
      <c r="T389" s="171"/>
      <c r="U389" s="171"/>
      <c r="V389" s="171"/>
      <c r="W389" s="171">
        <v>1</v>
      </c>
      <c r="X389" s="171">
        <v>4</v>
      </c>
      <c r="Y389" s="171"/>
      <c r="Z389" s="171"/>
      <c r="AA389" s="171"/>
      <c r="AB389" s="171"/>
      <c r="AC389" s="171"/>
      <c r="AD389" s="171">
        <v>1</v>
      </c>
      <c r="AE389" s="171">
        <v>1</v>
      </c>
      <c r="AF389" s="171"/>
      <c r="AG389" s="172">
        <f t="shared" si="8"/>
        <v>22</v>
      </c>
      <c r="AH389" s="173">
        <f>D389-AG389</f>
        <v>4</v>
      </c>
    </row>
    <row r="390" spans="1:35" ht="35.25" hidden="1" x14ac:dyDescent="0.5">
      <c r="A390" s="127">
        <v>404</v>
      </c>
      <c r="B390" s="101" t="s">
        <v>818</v>
      </c>
      <c r="C390" s="49" t="s">
        <v>819</v>
      </c>
      <c r="D390" s="48">
        <v>11</v>
      </c>
      <c r="E390" s="171"/>
      <c r="F390" s="171"/>
      <c r="G390" s="171"/>
      <c r="H390" s="171"/>
      <c r="I390" s="171"/>
      <c r="J390" s="171">
        <v>3</v>
      </c>
      <c r="K390" s="171"/>
      <c r="L390" s="171">
        <v>1</v>
      </c>
      <c r="M390" s="171"/>
      <c r="N390" s="171">
        <v>1</v>
      </c>
      <c r="O390" s="171"/>
      <c r="P390" s="171"/>
      <c r="Q390" s="171"/>
      <c r="R390" s="171"/>
      <c r="S390" s="171"/>
      <c r="T390" s="171"/>
      <c r="U390" s="171"/>
      <c r="V390" s="171"/>
      <c r="W390" s="171">
        <v>1</v>
      </c>
      <c r="X390" s="171">
        <f>1+1</f>
        <v>2</v>
      </c>
      <c r="Y390" s="171"/>
      <c r="Z390" s="171"/>
      <c r="AA390" s="171"/>
      <c r="AB390" s="171"/>
      <c r="AC390" s="171"/>
      <c r="AD390" s="171"/>
      <c r="AE390" s="171"/>
      <c r="AF390" s="171"/>
      <c r="AG390" s="172">
        <f t="shared" si="8"/>
        <v>8</v>
      </c>
      <c r="AH390" s="173">
        <f>D390-AG390</f>
        <v>3</v>
      </c>
    </row>
    <row r="391" spans="1:35" ht="35.25" hidden="1" x14ac:dyDescent="0.5">
      <c r="A391" s="127">
        <v>405</v>
      </c>
      <c r="B391" s="102" t="s">
        <v>821</v>
      </c>
      <c r="C391" s="51" t="s">
        <v>822</v>
      </c>
      <c r="D391" s="50">
        <v>3</v>
      </c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>
        <v>2</v>
      </c>
      <c r="Y391" s="171"/>
      <c r="Z391" s="171"/>
      <c r="AA391" s="171"/>
      <c r="AB391" s="171"/>
      <c r="AC391" s="171"/>
      <c r="AD391" s="171"/>
      <c r="AE391" s="171"/>
      <c r="AF391" s="171"/>
      <c r="AG391" s="172">
        <f t="shared" si="8"/>
        <v>2</v>
      </c>
      <c r="AH391" s="173">
        <f>D391-AG391</f>
        <v>1</v>
      </c>
    </row>
    <row r="392" spans="1:35" ht="35.25" hidden="1" x14ac:dyDescent="0.5">
      <c r="A392" s="127">
        <v>406</v>
      </c>
      <c r="B392" s="101" t="s">
        <v>823</v>
      </c>
      <c r="C392" s="49" t="s">
        <v>824</v>
      </c>
      <c r="D392" s="48">
        <v>3</v>
      </c>
      <c r="E392" s="171"/>
      <c r="F392" s="171"/>
      <c r="G392" s="171"/>
      <c r="H392" s="171"/>
      <c r="I392" s="171"/>
      <c r="J392" s="171">
        <v>1</v>
      </c>
      <c r="K392" s="171"/>
      <c r="L392" s="171"/>
      <c r="M392" s="171">
        <v>1</v>
      </c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>
        <v>1</v>
      </c>
      <c r="Y392" s="171"/>
      <c r="Z392" s="171"/>
      <c r="AA392" s="171"/>
      <c r="AB392" s="171"/>
      <c r="AC392" s="171"/>
      <c r="AD392" s="171"/>
      <c r="AE392" s="171"/>
      <c r="AF392" s="171"/>
      <c r="AG392" s="172">
        <f t="shared" si="8"/>
        <v>3</v>
      </c>
      <c r="AH392" s="173">
        <f>D392-AG392</f>
        <v>0</v>
      </c>
    </row>
    <row r="393" spans="1:35" ht="35.25" hidden="1" x14ac:dyDescent="0.5">
      <c r="A393" s="127">
        <v>407</v>
      </c>
      <c r="B393" s="102" t="s">
        <v>825</v>
      </c>
      <c r="C393" s="51" t="s">
        <v>826</v>
      </c>
      <c r="D393" s="50">
        <v>6</v>
      </c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>
        <v>3</v>
      </c>
      <c r="S393" s="171"/>
      <c r="T393" s="171"/>
      <c r="U393" s="171"/>
      <c r="V393" s="171"/>
      <c r="W393" s="171"/>
      <c r="X393" s="171">
        <v>3</v>
      </c>
      <c r="Y393" s="171"/>
      <c r="Z393" s="171"/>
      <c r="AA393" s="171"/>
      <c r="AB393" s="171"/>
      <c r="AC393" s="171"/>
      <c r="AD393" s="171"/>
      <c r="AE393" s="171"/>
      <c r="AF393" s="171"/>
      <c r="AG393" s="172">
        <f t="shared" si="8"/>
        <v>6</v>
      </c>
      <c r="AH393" s="173">
        <f>D393-AG393</f>
        <v>0</v>
      </c>
    </row>
    <row r="394" spans="1:35" ht="35.25" hidden="1" x14ac:dyDescent="0.5">
      <c r="A394" s="127">
        <v>408</v>
      </c>
      <c r="B394" s="94" t="s">
        <v>952</v>
      </c>
      <c r="C394" s="36" t="s">
        <v>953</v>
      </c>
      <c r="D394" s="32">
        <v>2</v>
      </c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>
        <v>1</v>
      </c>
      <c r="Y394" s="171"/>
      <c r="Z394" s="171"/>
      <c r="AA394" s="171"/>
      <c r="AB394" s="171"/>
      <c r="AC394" s="171"/>
      <c r="AD394" s="171"/>
      <c r="AE394" s="171"/>
      <c r="AF394" s="171"/>
      <c r="AG394" s="172">
        <f t="shared" si="8"/>
        <v>1</v>
      </c>
      <c r="AH394" s="173">
        <f>D394-AG394</f>
        <v>1</v>
      </c>
    </row>
    <row r="395" spans="1:35" ht="35.25" hidden="1" x14ac:dyDescent="0.5">
      <c r="A395" s="127">
        <v>409</v>
      </c>
      <c r="B395" s="102" t="s">
        <v>827</v>
      </c>
      <c r="C395" s="51" t="s">
        <v>828</v>
      </c>
      <c r="D395" s="50">
        <v>44</v>
      </c>
      <c r="E395" s="171"/>
      <c r="F395" s="171">
        <v>4</v>
      </c>
      <c r="G395" s="171"/>
      <c r="H395" s="171"/>
      <c r="I395" s="171"/>
      <c r="J395" s="171">
        <v>2</v>
      </c>
      <c r="K395" s="171"/>
      <c r="L395" s="171">
        <f>2+4</f>
        <v>6</v>
      </c>
      <c r="M395" s="171"/>
      <c r="N395" s="171">
        <f>4+2</f>
        <v>6</v>
      </c>
      <c r="O395" s="171"/>
      <c r="P395" s="171"/>
      <c r="Q395" s="171">
        <v>2</v>
      </c>
      <c r="R395" s="171">
        <f>4+2+1</f>
        <v>7</v>
      </c>
      <c r="S395" s="171"/>
      <c r="T395" s="171"/>
      <c r="U395" s="171"/>
      <c r="V395" s="171"/>
      <c r="W395" s="171">
        <f>3+4</f>
        <v>7</v>
      </c>
      <c r="X395" s="171">
        <v>4</v>
      </c>
      <c r="Y395" s="171"/>
      <c r="Z395" s="171"/>
      <c r="AA395" s="171"/>
      <c r="AB395" s="171"/>
      <c r="AC395" s="171">
        <v>2</v>
      </c>
      <c r="AD395" s="171">
        <v>2</v>
      </c>
      <c r="AE395" s="171"/>
      <c r="AF395" s="171">
        <v>2</v>
      </c>
      <c r="AG395" s="172">
        <f t="shared" si="8"/>
        <v>44</v>
      </c>
      <c r="AH395" s="173">
        <f>D395-AG395</f>
        <v>0</v>
      </c>
    </row>
    <row r="396" spans="1:35" ht="35.25" hidden="1" x14ac:dyDescent="0.5">
      <c r="A396" s="127">
        <v>410</v>
      </c>
      <c r="B396" s="101" t="s">
        <v>829</v>
      </c>
      <c r="C396" s="49" t="s">
        <v>830</v>
      </c>
      <c r="D396" s="48">
        <v>50</v>
      </c>
      <c r="E396" s="171"/>
      <c r="F396" s="171"/>
      <c r="G396" s="171"/>
      <c r="H396" s="171"/>
      <c r="I396" s="171"/>
      <c r="J396" s="171">
        <v>2</v>
      </c>
      <c r="K396" s="171"/>
      <c r="L396" s="171">
        <f>2+4</f>
        <v>6</v>
      </c>
      <c r="M396" s="171">
        <f>4+2</f>
        <v>6</v>
      </c>
      <c r="N396" s="171">
        <f>6+4</f>
        <v>10</v>
      </c>
      <c r="O396" s="171"/>
      <c r="P396" s="171"/>
      <c r="Q396" s="171">
        <v>2</v>
      </c>
      <c r="R396" s="171">
        <f>4+2+2</f>
        <v>8</v>
      </c>
      <c r="S396" s="171"/>
      <c r="T396" s="171"/>
      <c r="U396" s="171"/>
      <c r="V396" s="171"/>
      <c r="W396" s="171">
        <f>3+4</f>
        <v>7</v>
      </c>
      <c r="X396" s="171">
        <f>2+4</f>
        <v>6</v>
      </c>
      <c r="Y396" s="171"/>
      <c r="Z396" s="171"/>
      <c r="AA396" s="171"/>
      <c r="AB396" s="171"/>
      <c r="AC396" s="171"/>
      <c r="AD396" s="171">
        <v>1</v>
      </c>
      <c r="AE396" s="171">
        <v>2</v>
      </c>
      <c r="AF396" s="171"/>
      <c r="AG396" s="172">
        <f t="shared" si="8"/>
        <v>50</v>
      </c>
      <c r="AH396" s="173">
        <f>D396-AG396</f>
        <v>0</v>
      </c>
    </row>
    <row r="397" spans="1:35" ht="35.25" hidden="1" x14ac:dyDescent="0.5">
      <c r="A397" s="127">
        <v>411</v>
      </c>
      <c r="B397" s="103" t="s">
        <v>831</v>
      </c>
      <c r="C397" s="53" t="s">
        <v>832</v>
      </c>
      <c r="D397" s="52">
        <v>15</v>
      </c>
      <c r="E397" s="171"/>
      <c r="F397" s="171"/>
      <c r="G397" s="171"/>
      <c r="H397" s="171"/>
      <c r="I397" s="171"/>
      <c r="J397" s="171"/>
      <c r="K397" s="171"/>
      <c r="L397" s="171">
        <v>2</v>
      </c>
      <c r="M397" s="171"/>
      <c r="N397" s="171">
        <v>3</v>
      </c>
      <c r="O397" s="171"/>
      <c r="P397" s="171"/>
      <c r="Q397" s="171"/>
      <c r="R397" s="171"/>
      <c r="S397" s="171"/>
      <c r="T397" s="171"/>
      <c r="U397" s="171"/>
      <c r="V397" s="171"/>
      <c r="W397" s="171">
        <v>3</v>
      </c>
      <c r="X397" s="171">
        <v>2</v>
      </c>
      <c r="Y397" s="171"/>
      <c r="Z397" s="171"/>
      <c r="AA397" s="171"/>
      <c r="AB397" s="171"/>
      <c r="AC397" s="171"/>
      <c r="AD397" s="171">
        <f>2+1</f>
        <v>3</v>
      </c>
      <c r="AE397" s="171"/>
      <c r="AF397" s="171"/>
      <c r="AG397" s="172">
        <f t="shared" si="8"/>
        <v>13</v>
      </c>
      <c r="AH397" s="173">
        <f>D397-AG397</f>
        <v>2</v>
      </c>
    </row>
    <row r="398" spans="1:35" ht="35.25" hidden="1" x14ac:dyDescent="0.5">
      <c r="A398" s="127">
        <v>412</v>
      </c>
      <c r="B398" s="103" t="s">
        <v>835</v>
      </c>
      <c r="C398" s="53" t="s">
        <v>836</v>
      </c>
      <c r="D398" s="52">
        <v>15</v>
      </c>
      <c r="E398" s="171">
        <v>1</v>
      </c>
      <c r="F398" s="171"/>
      <c r="G398" s="171"/>
      <c r="H398" s="171"/>
      <c r="I398" s="171"/>
      <c r="J398" s="171">
        <v>3</v>
      </c>
      <c r="K398" s="171"/>
      <c r="L398" s="171"/>
      <c r="M398" s="171">
        <v>1</v>
      </c>
      <c r="N398" s="171">
        <v>3</v>
      </c>
      <c r="O398" s="171"/>
      <c r="P398" s="171"/>
      <c r="Q398" s="171"/>
      <c r="R398" s="171"/>
      <c r="S398" s="171"/>
      <c r="T398" s="171"/>
      <c r="U398" s="171"/>
      <c r="V398" s="171"/>
      <c r="W398" s="171"/>
      <c r="X398" s="171">
        <v>1</v>
      </c>
      <c r="Y398" s="171"/>
      <c r="Z398" s="171"/>
      <c r="AA398" s="171"/>
      <c r="AB398" s="171"/>
      <c r="AC398" s="171"/>
      <c r="AD398" s="171">
        <v>2</v>
      </c>
      <c r="AE398" s="171"/>
      <c r="AF398" s="171"/>
      <c r="AG398" s="172">
        <f t="shared" si="8"/>
        <v>10</v>
      </c>
      <c r="AH398" s="173">
        <f>D398-AG398</f>
        <v>5</v>
      </c>
    </row>
    <row r="399" spans="1:35" ht="35.25" hidden="1" x14ac:dyDescent="0.5">
      <c r="A399" s="127">
        <v>413</v>
      </c>
      <c r="B399" s="103" t="s">
        <v>1329</v>
      </c>
      <c r="C399" s="53" t="s">
        <v>838</v>
      </c>
      <c r="D399" s="52">
        <v>10</v>
      </c>
      <c r="E399" s="171"/>
      <c r="F399" s="171"/>
      <c r="G399" s="171"/>
      <c r="H399" s="171"/>
      <c r="I399" s="171"/>
      <c r="J399" s="171">
        <v>1</v>
      </c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>
        <v>7</v>
      </c>
      <c r="Y399" s="171"/>
      <c r="Z399" s="171"/>
      <c r="AA399" s="171"/>
      <c r="AB399" s="171"/>
      <c r="AC399" s="171"/>
      <c r="AD399" s="171"/>
      <c r="AE399" s="171"/>
      <c r="AF399" s="171"/>
      <c r="AG399" s="172">
        <f t="shared" si="8"/>
        <v>8</v>
      </c>
      <c r="AH399" s="173">
        <f>D399-AG399</f>
        <v>2</v>
      </c>
      <c r="AI399" s="171">
        <v>7</v>
      </c>
    </row>
    <row r="400" spans="1:35" ht="35.25" hidden="1" x14ac:dyDescent="0.5">
      <c r="A400" s="127">
        <v>414</v>
      </c>
      <c r="B400" s="103" t="s">
        <v>839</v>
      </c>
      <c r="C400" s="53" t="s">
        <v>840</v>
      </c>
      <c r="D400" s="52">
        <v>29</v>
      </c>
      <c r="E400" s="171"/>
      <c r="F400" s="171"/>
      <c r="G400" s="171"/>
      <c r="H400" s="171"/>
      <c r="I400" s="171"/>
      <c r="J400" s="171">
        <v>1</v>
      </c>
      <c r="K400" s="171"/>
      <c r="L400" s="171"/>
      <c r="M400" s="171">
        <v>2</v>
      </c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1">
        <v>12</v>
      </c>
      <c r="AD400" s="171"/>
      <c r="AE400" s="171"/>
      <c r="AF400" s="171">
        <v>4</v>
      </c>
      <c r="AG400" s="172">
        <f t="shared" si="8"/>
        <v>19</v>
      </c>
      <c r="AH400" s="173">
        <f>D400-AG400</f>
        <v>10</v>
      </c>
      <c r="AI400" s="171">
        <v>2</v>
      </c>
    </row>
    <row r="401" spans="1:34" ht="35.25" hidden="1" x14ac:dyDescent="0.5">
      <c r="A401" s="127">
        <v>415</v>
      </c>
      <c r="B401" s="103" t="s">
        <v>886</v>
      </c>
      <c r="C401" s="53" t="s">
        <v>887</v>
      </c>
      <c r="D401" s="52">
        <v>3</v>
      </c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>
        <v>1</v>
      </c>
      <c r="S401" s="171"/>
      <c r="T401" s="171"/>
      <c r="U401" s="171"/>
      <c r="V401" s="171"/>
      <c r="W401" s="171"/>
      <c r="X401" s="171">
        <v>1</v>
      </c>
      <c r="Y401" s="171"/>
      <c r="Z401" s="171"/>
      <c r="AA401" s="171"/>
      <c r="AB401" s="171"/>
      <c r="AC401" s="171"/>
      <c r="AD401" s="171"/>
      <c r="AE401" s="171">
        <v>1</v>
      </c>
      <c r="AF401" s="171"/>
      <c r="AG401" s="172">
        <f t="shared" si="8"/>
        <v>3</v>
      </c>
      <c r="AH401" s="173">
        <f>D401-AG401</f>
        <v>0</v>
      </c>
    </row>
    <row r="402" spans="1:34" ht="35.25" hidden="1" x14ac:dyDescent="0.5">
      <c r="A402" s="127">
        <v>416</v>
      </c>
      <c r="B402" s="103" t="s">
        <v>843</v>
      </c>
      <c r="C402" s="53" t="s">
        <v>844</v>
      </c>
      <c r="D402" s="52">
        <v>19</v>
      </c>
      <c r="E402" s="171"/>
      <c r="F402" s="171"/>
      <c r="G402" s="171"/>
      <c r="H402" s="171"/>
      <c r="I402" s="171"/>
      <c r="J402" s="171">
        <v>3</v>
      </c>
      <c r="K402" s="171"/>
      <c r="L402" s="171"/>
      <c r="M402" s="171">
        <v>2</v>
      </c>
      <c r="N402" s="171"/>
      <c r="O402" s="171"/>
      <c r="P402" s="171">
        <v>2</v>
      </c>
      <c r="Q402" s="171"/>
      <c r="R402" s="171"/>
      <c r="S402" s="171"/>
      <c r="T402" s="171"/>
      <c r="U402" s="171"/>
      <c r="V402" s="171"/>
      <c r="W402" s="171">
        <f>3+2</f>
        <v>5</v>
      </c>
      <c r="X402" s="171">
        <v>2</v>
      </c>
      <c r="Y402" s="171"/>
      <c r="Z402" s="171"/>
      <c r="AA402" s="171"/>
      <c r="AB402" s="171"/>
      <c r="AC402" s="171"/>
      <c r="AD402" s="171"/>
      <c r="AE402" s="171"/>
      <c r="AF402" s="171"/>
      <c r="AG402" s="172">
        <f t="shared" si="8"/>
        <v>14</v>
      </c>
      <c r="AH402" s="173">
        <f>D402-AG402</f>
        <v>5</v>
      </c>
    </row>
    <row r="403" spans="1:34" ht="35.25" hidden="1" x14ac:dyDescent="0.5">
      <c r="A403" s="127">
        <v>417</v>
      </c>
      <c r="B403" s="103" t="s">
        <v>888</v>
      </c>
      <c r="C403" s="53" t="s">
        <v>889</v>
      </c>
      <c r="D403" s="52">
        <v>3</v>
      </c>
      <c r="E403" s="171"/>
      <c r="F403" s="171">
        <v>1</v>
      </c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>
        <f>1+1</f>
        <v>2</v>
      </c>
      <c r="AE403" s="171"/>
      <c r="AF403" s="171"/>
      <c r="AG403" s="172">
        <f t="shared" si="8"/>
        <v>3</v>
      </c>
      <c r="AH403" s="173">
        <f>D403-AG403</f>
        <v>0</v>
      </c>
    </row>
    <row r="404" spans="1:34" ht="35.25" hidden="1" x14ac:dyDescent="0.5">
      <c r="A404" s="127">
        <v>418</v>
      </c>
      <c r="B404" s="103" t="s">
        <v>845</v>
      </c>
      <c r="C404" s="53" t="s">
        <v>846</v>
      </c>
      <c r="D404" s="52">
        <v>8</v>
      </c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>
        <v>1</v>
      </c>
      <c r="X404" s="171"/>
      <c r="Y404" s="171"/>
      <c r="Z404" s="171"/>
      <c r="AA404" s="171"/>
      <c r="AB404" s="171"/>
      <c r="AC404" s="171"/>
      <c r="AD404" s="171"/>
      <c r="AE404" s="171"/>
      <c r="AF404" s="171"/>
      <c r="AG404" s="172">
        <f t="shared" si="8"/>
        <v>1</v>
      </c>
      <c r="AH404" s="173">
        <f>D404-AG404</f>
        <v>7</v>
      </c>
    </row>
    <row r="405" spans="1:34" ht="35.25" hidden="1" x14ac:dyDescent="0.5">
      <c r="A405" s="127">
        <v>419</v>
      </c>
      <c r="B405" s="103" t="s">
        <v>847</v>
      </c>
      <c r="C405" s="53" t="s">
        <v>1415</v>
      </c>
      <c r="D405" s="52">
        <v>20</v>
      </c>
      <c r="E405" s="171"/>
      <c r="F405" s="171"/>
      <c r="G405" s="171"/>
      <c r="H405" s="171"/>
      <c r="I405" s="171"/>
      <c r="J405" s="171"/>
      <c r="K405" s="171"/>
      <c r="L405" s="171"/>
      <c r="M405" s="171"/>
      <c r="N405" s="171">
        <v>1</v>
      </c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>
        <v>10</v>
      </c>
      <c r="Z405" s="171"/>
      <c r="AA405" s="171"/>
      <c r="AB405" s="171"/>
      <c r="AC405" s="171"/>
      <c r="AD405" s="171"/>
      <c r="AE405" s="171"/>
      <c r="AF405" s="171"/>
      <c r="AG405" s="172">
        <f t="shared" si="8"/>
        <v>11</v>
      </c>
      <c r="AH405" s="173">
        <f>D405-AG405</f>
        <v>9</v>
      </c>
    </row>
    <row r="406" spans="1:34" ht="35.25" hidden="1" x14ac:dyDescent="0.5">
      <c r="A406" s="127">
        <v>420</v>
      </c>
      <c r="B406" s="104" t="s">
        <v>849</v>
      </c>
      <c r="C406" s="55" t="s">
        <v>850</v>
      </c>
      <c r="D406" s="208">
        <v>2</v>
      </c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>
        <v>1</v>
      </c>
      <c r="Y406" s="171"/>
      <c r="Z406" s="171"/>
      <c r="AA406" s="171"/>
      <c r="AB406" s="171"/>
      <c r="AC406" s="171"/>
      <c r="AD406" s="171"/>
      <c r="AE406" s="171">
        <v>1</v>
      </c>
      <c r="AF406" s="171"/>
      <c r="AG406" s="172">
        <f t="shared" si="8"/>
        <v>2</v>
      </c>
      <c r="AH406" s="173">
        <f>D406-AG406</f>
        <v>0</v>
      </c>
    </row>
    <row r="407" spans="1:34" ht="35.25" hidden="1" x14ac:dyDescent="0.5">
      <c r="A407" s="127">
        <v>422</v>
      </c>
      <c r="B407" s="104" t="s">
        <v>853</v>
      </c>
      <c r="C407" s="55" t="s">
        <v>854</v>
      </c>
      <c r="D407" s="54">
        <v>16</v>
      </c>
      <c r="E407" s="171">
        <v>2</v>
      </c>
      <c r="F407" s="171"/>
      <c r="G407" s="171"/>
      <c r="H407" s="171"/>
      <c r="I407" s="171"/>
      <c r="J407" s="171">
        <v>2</v>
      </c>
      <c r="K407" s="171"/>
      <c r="L407" s="171"/>
      <c r="M407" s="171"/>
      <c r="N407" s="171">
        <v>5</v>
      </c>
      <c r="O407" s="171"/>
      <c r="P407" s="171"/>
      <c r="Q407" s="171"/>
      <c r="R407" s="171">
        <v>1</v>
      </c>
      <c r="S407" s="171"/>
      <c r="T407" s="171"/>
      <c r="U407" s="171"/>
      <c r="V407" s="171"/>
      <c r="W407" s="171"/>
      <c r="X407" s="171">
        <v>1</v>
      </c>
      <c r="Y407" s="171"/>
      <c r="Z407" s="171"/>
      <c r="AA407" s="171"/>
      <c r="AB407" s="171"/>
      <c r="AC407" s="171">
        <v>1</v>
      </c>
      <c r="AD407" s="171"/>
      <c r="AE407" s="171"/>
      <c r="AF407" s="171"/>
      <c r="AG407" s="172">
        <f t="shared" ref="AG407:AG436" si="9">SUM(F407:AF407)</f>
        <v>10</v>
      </c>
      <c r="AH407" s="173">
        <f>D407-AG407</f>
        <v>6</v>
      </c>
    </row>
    <row r="408" spans="1:34" ht="35.25" hidden="1" x14ac:dyDescent="0.5">
      <c r="A408" s="127">
        <v>423</v>
      </c>
      <c r="B408" s="104" t="s">
        <v>855</v>
      </c>
      <c r="C408" s="55" t="s">
        <v>856</v>
      </c>
      <c r="D408" s="54">
        <v>17</v>
      </c>
      <c r="E408" s="171"/>
      <c r="F408" s="171"/>
      <c r="G408" s="171">
        <v>1</v>
      </c>
      <c r="H408" s="171"/>
      <c r="I408" s="171"/>
      <c r="J408" s="171">
        <f>2+1</f>
        <v>3</v>
      </c>
      <c r="K408" s="171"/>
      <c r="L408" s="171"/>
      <c r="M408" s="171"/>
      <c r="N408" s="171">
        <v>3</v>
      </c>
      <c r="O408" s="171"/>
      <c r="P408" s="171"/>
      <c r="Q408" s="171"/>
      <c r="R408" s="171">
        <v>1</v>
      </c>
      <c r="S408" s="171"/>
      <c r="T408" s="171"/>
      <c r="U408" s="171"/>
      <c r="V408" s="171"/>
      <c r="W408" s="171">
        <v>3</v>
      </c>
      <c r="X408" s="171">
        <v>1</v>
      </c>
      <c r="Y408" s="171"/>
      <c r="Z408" s="171"/>
      <c r="AA408" s="171"/>
      <c r="AB408" s="171"/>
      <c r="AC408" s="171"/>
      <c r="AD408" s="171"/>
      <c r="AE408" s="171"/>
      <c r="AF408" s="171"/>
      <c r="AG408" s="172">
        <f t="shared" si="9"/>
        <v>12</v>
      </c>
      <c r="AH408" s="173">
        <f>D408-AG408</f>
        <v>5</v>
      </c>
    </row>
    <row r="409" spans="1:34" ht="35.25" hidden="1" x14ac:dyDescent="0.5">
      <c r="A409" s="127">
        <v>424</v>
      </c>
      <c r="B409" s="104" t="s">
        <v>857</v>
      </c>
      <c r="C409" s="55" t="s">
        <v>858</v>
      </c>
      <c r="D409" s="54">
        <v>22</v>
      </c>
      <c r="E409" s="171"/>
      <c r="F409" s="171"/>
      <c r="G409" s="171"/>
      <c r="H409" s="171"/>
      <c r="I409" s="171"/>
      <c r="J409" s="171">
        <v>2</v>
      </c>
      <c r="K409" s="171"/>
      <c r="L409" s="171"/>
      <c r="M409" s="171">
        <v>2</v>
      </c>
      <c r="N409" s="171">
        <v>3</v>
      </c>
      <c r="O409" s="171"/>
      <c r="P409" s="171"/>
      <c r="Q409" s="171"/>
      <c r="R409" s="171">
        <v>3</v>
      </c>
      <c r="S409" s="171"/>
      <c r="T409" s="171"/>
      <c r="U409" s="171"/>
      <c r="V409" s="171"/>
      <c r="W409" s="171">
        <v>5</v>
      </c>
      <c r="X409" s="171">
        <v>1</v>
      </c>
      <c r="Y409" s="171"/>
      <c r="Z409" s="171"/>
      <c r="AA409" s="171"/>
      <c r="AB409" s="171"/>
      <c r="AC409" s="171"/>
      <c r="AD409" s="171">
        <v>3</v>
      </c>
      <c r="AE409" s="171"/>
      <c r="AF409" s="171"/>
      <c r="AG409" s="172">
        <f t="shared" si="9"/>
        <v>19</v>
      </c>
      <c r="AH409" s="173">
        <f>D409-AG409</f>
        <v>3</v>
      </c>
    </row>
    <row r="410" spans="1:34" ht="23.25" hidden="1" customHeight="1" x14ac:dyDescent="0.5">
      <c r="A410" s="127">
        <v>425</v>
      </c>
      <c r="B410" s="105" t="s">
        <v>859</v>
      </c>
      <c r="C410" s="57" t="s">
        <v>860</v>
      </c>
      <c r="D410" s="56">
        <v>5</v>
      </c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  <c r="AC410" s="171"/>
      <c r="AD410" s="171"/>
      <c r="AE410" s="171"/>
      <c r="AF410" s="171"/>
      <c r="AG410" s="172">
        <f t="shared" si="9"/>
        <v>0</v>
      </c>
      <c r="AH410" s="173">
        <f>D410-AG410</f>
        <v>5</v>
      </c>
    </row>
    <row r="411" spans="1:34" ht="35.25" hidden="1" x14ac:dyDescent="0.5">
      <c r="A411" s="127">
        <v>426</v>
      </c>
      <c r="B411" s="105" t="s">
        <v>861</v>
      </c>
      <c r="C411" s="57" t="s">
        <v>862</v>
      </c>
      <c r="D411" s="56">
        <v>1</v>
      </c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>
        <v>1</v>
      </c>
      <c r="X411" s="171"/>
      <c r="Y411" s="171"/>
      <c r="Z411" s="171"/>
      <c r="AA411" s="171"/>
      <c r="AB411" s="171"/>
      <c r="AC411" s="171"/>
      <c r="AD411" s="171"/>
      <c r="AE411" s="171"/>
      <c r="AF411" s="171"/>
      <c r="AG411" s="172">
        <f t="shared" si="9"/>
        <v>1</v>
      </c>
      <c r="AH411" s="173">
        <f>D411-AG411</f>
        <v>0</v>
      </c>
    </row>
    <row r="412" spans="1:34" ht="35.25" hidden="1" x14ac:dyDescent="0.5">
      <c r="A412" s="127">
        <v>427</v>
      </c>
      <c r="B412" s="105" t="s">
        <v>863</v>
      </c>
      <c r="C412" s="57" t="s">
        <v>864</v>
      </c>
      <c r="D412" s="56">
        <v>5</v>
      </c>
      <c r="E412" s="171"/>
      <c r="F412" s="171"/>
      <c r="G412" s="171"/>
      <c r="H412" s="171"/>
      <c r="I412" s="171"/>
      <c r="J412" s="171">
        <v>1</v>
      </c>
      <c r="K412" s="171"/>
      <c r="L412" s="171"/>
      <c r="M412" s="171"/>
      <c r="N412" s="171">
        <v>2</v>
      </c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1"/>
      <c r="AD412" s="171"/>
      <c r="AE412" s="171"/>
      <c r="AF412" s="171"/>
      <c r="AG412" s="172">
        <f t="shared" si="9"/>
        <v>3</v>
      </c>
      <c r="AH412" s="173">
        <f>D412-AG412</f>
        <v>2</v>
      </c>
    </row>
    <row r="413" spans="1:34" ht="35.25" hidden="1" x14ac:dyDescent="0.5">
      <c r="A413" s="127">
        <v>428</v>
      </c>
      <c r="B413" s="105" t="s">
        <v>865</v>
      </c>
      <c r="C413" s="57" t="s">
        <v>866</v>
      </c>
      <c r="D413" s="56">
        <v>1</v>
      </c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/>
      <c r="AE413" s="171"/>
      <c r="AF413" s="171"/>
      <c r="AG413" s="172">
        <f t="shared" si="9"/>
        <v>0</v>
      </c>
      <c r="AH413" s="173">
        <f>D413-AG413</f>
        <v>1</v>
      </c>
    </row>
    <row r="414" spans="1:34" ht="35.25" hidden="1" x14ac:dyDescent="0.5">
      <c r="A414" s="127">
        <v>429</v>
      </c>
      <c r="B414" s="105" t="s">
        <v>867</v>
      </c>
      <c r="C414" s="57" t="s">
        <v>868</v>
      </c>
      <c r="D414" s="209">
        <v>4</v>
      </c>
      <c r="E414" s="171">
        <v>1</v>
      </c>
      <c r="F414" s="171"/>
      <c r="G414" s="171"/>
      <c r="H414" s="171"/>
      <c r="I414" s="171"/>
      <c r="J414" s="171"/>
      <c r="K414" s="171"/>
      <c r="L414" s="171"/>
      <c r="M414" s="171"/>
      <c r="N414" s="171">
        <v>2</v>
      </c>
      <c r="O414" s="171"/>
      <c r="P414" s="171"/>
      <c r="Q414" s="171"/>
      <c r="R414" s="171"/>
      <c r="S414" s="171"/>
      <c r="T414" s="171"/>
      <c r="U414" s="171"/>
      <c r="V414" s="171"/>
      <c r="W414" s="171"/>
      <c r="X414" s="171">
        <v>1</v>
      </c>
      <c r="Y414" s="171"/>
      <c r="Z414" s="171"/>
      <c r="AA414" s="171"/>
      <c r="AB414" s="171"/>
      <c r="AC414" s="171"/>
      <c r="AD414" s="171"/>
      <c r="AE414" s="171"/>
      <c r="AF414" s="171">
        <v>1</v>
      </c>
      <c r="AG414" s="172">
        <f t="shared" si="9"/>
        <v>4</v>
      </c>
      <c r="AH414" s="173">
        <f>D414-AG414</f>
        <v>0</v>
      </c>
    </row>
    <row r="415" spans="1:34" ht="35.25" hidden="1" x14ac:dyDescent="0.5">
      <c r="A415" s="127">
        <v>432</v>
      </c>
      <c r="B415" s="105" t="s">
        <v>873</v>
      </c>
      <c r="C415" s="57" t="s">
        <v>874</v>
      </c>
      <c r="D415" s="56">
        <v>20</v>
      </c>
      <c r="E415" s="171">
        <v>1</v>
      </c>
      <c r="F415" s="171"/>
      <c r="G415" s="171">
        <v>1</v>
      </c>
      <c r="H415" s="171"/>
      <c r="I415" s="171">
        <v>1</v>
      </c>
      <c r="J415" s="171">
        <v>2</v>
      </c>
      <c r="K415" s="171"/>
      <c r="L415" s="171">
        <v>1</v>
      </c>
      <c r="M415" s="171">
        <v>1</v>
      </c>
      <c r="N415" s="171">
        <f>5+1</f>
        <v>6</v>
      </c>
      <c r="O415" s="171"/>
      <c r="P415" s="171"/>
      <c r="Q415" s="171">
        <v>1</v>
      </c>
      <c r="R415" s="171">
        <v>1</v>
      </c>
      <c r="S415" s="171">
        <v>1</v>
      </c>
      <c r="T415" s="171"/>
      <c r="U415" s="171"/>
      <c r="V415" s="171"/>
      <c r="W415" s="171">
        <v>1</v>
      </c>
      <c r="X415" s="171">
        <v>5</v>
      </c>
      <c r="Y415" s="171"/>
      <c r="Z415" s="171"/>
      <c r="AA415" s="171"/>
      <c r="AB415" s="171"/>
      <c r="AC415" s="171">
        <v>1</v>
      </c>
      <c r="AD415" s="171"/>
      <c r="AE415" s="171"/>
      <c r="AF415" s="171">
        <v>1</v>
      </c>
      <c r="AG415" s="172">
        <f t="shared" si="9"/>
        <v>23</v>
      </c>
      <c r="AH415" s="173">
        <f>D415-AG415</f>
        <v>-3</v>
      </c>
    </row>
    <row r="416" spans="1:34" ht="27.75" hidden="1" customHeight="1" x14ac:dyDescent="0.5">
      <c r="A416" s="127">
        <v>433</v>
      </c>
      <c r="B416" s="106" t="s">
        <v>877</v>
      </c>
      <c r="C416" s="58" t="s">
        <v>878</v>
      </c>
      <c r="D416" s="59">
        <v>23</v>
      </c>
      <c r="E416" s="171">
        <v>2</v>
      </c>
      <c r="F416" s="171"/>
      <c r="G416" s="171">
        <v>1</v>
      </c>
      <c r="H416" s="171"/>
      <c r="I416" s="171"/>
      <c r="J416" s="171">
        <v>2</v>
      </c>
      <c r="K416" s="171"/>
      <c r="L416" s="171">
        <v>1</v>
      </c>
      <c r="M416" s="171">
        <v>1</v>
      </c>
      <c r="N416" s="171">
        <v>6</v>
      </c>
      <c r="O416" s="171"/>
      <c r="P416" s="171"/>
      <c r="Q416" s="171"/>
      <c r="R416" s="171">
        <v>1</v>
      </c>
      <c r="S416" s="171"/>
      <c r="T416" s="171"/>
      <c r="U416" s="171"/>
      <c r="V416" s="171"/>
      <c r="W416" s="171">
        <v>4</v>
      </c>
      <c r="X416" s="171">
        <v>2</v>
      </c>
      <c r="Y416" s="171"/>
      <c r="Z416" s="171"/>
      <c r="AA416" s="171"/>
      <c r="AB416" s="171"/>
      <c r="AC416" s="171"/>
      <c r="AD416" s="171"/>
      <c r="AE416" s="171"/>
      <c r="AF416" s="171"/>
      <c r="AG416" s="172">
        <f t="shared" si="9"/>
        <v>18</v>
      </c>
      <c r="AH416" s="173">
        <f>D416-AG416</f>
        <v>5</v>
      </c>
    </row>
    <row r="417" spans="1:34" ht="30.75" hidden="1" customHeight="1" x14ac:dyDescent="0.5">
      <c r="A417" s="127">
        <v>434</v>
      </c>
      <c r="B417" s="106" t="s">
        <v>879</v>
      </c>
      <c r="C417" s="58" t="s">
        <v>880</v>
      </c>
      <c r="D417" s="59">
        <v>6</v>
      </c>
      <c r="E417" s="171"/>
      <c r="F417" s="171"/>
      <c r="G417" s="171"/>
      <c r="H417" s="171"/>
      <c r="I417" s="171"/>
      <c r="J417" s="171"/>
      <c r="K417" s="171"/>
      <c r="L417" s="171"/>
      <c r="M417" s="171"/>
      <c r="N417" s="171">
        <v>1</v>
      </c>
      <c r="O417" s="171"/>
      <c r="P417" s="171"/>
      <c r="Q417" s="171"/>
      <c r="R417" s="171"/>
      <c r="S417" s="171"/>
      <c r="T417" s="171"/>
      <c r="U417" s="171"/>
      <c r="V417" s="171"/>
      <c r="W417" s="171">
        <v>1</v>
      </c>
      <c r="X417" s="171">
        <v>2</v>
      </c>
      <c r="Y417" s="171"/>
      <c r="Z417" s="171"/>
      <c r="AA417" s="171"/>
      <c r="AB417" s="171"/>
      <c r="AC417" s="171"/>
      <c r="AD417" s="171">
        <v>1</v>
      </c>
      <c r="AE417" s="171"/>
      <c r="AF417" s="171">
        <v>1</v>
      </c>
      <c r="AG417" s="172">
        <f t="shared" si="9"/>
        <v>6</v>
      </c>
      <c r="AH417" s="173">
        <f>D417-AG417</f>
        <v>0</v>
      </c>
    </row>
    <row r="418" spans="1:34" ht="35.25" hidden="1" x14ac:dyDescent="0.5">
      <c r="A418" s="127">
        <v>437</v>
      </c>
      <c r="B418" s="107" t="s">
        <v>896</v>
      </c>
      <c r="C418" s="60" t="s">
        <v>897</v>
      </c>
      <c r="D418" s="61">
        <v>320</v>
      </c>
      <c r="E418" s="171"/>
      <c r="F418" s="171"/>
      <c r="G418" s="171">
        <v>12</v>
      </c>
      <c r="H418" s="171"/>
      <c r="I418" s="171"/>
      <c r="J418" s="171">
        <v>12</v>
      </c>
      <c r="K418" s="171"/>
      <c r="L418" s="171"/>
      <c r="M418" s="171">
        <v>20</v>
      </c>
      <c r="N418" s="171">
        <v>65</v>
      </c>
      <c r="O418" s="171"/>
      <c r="P418" s="171"/>
      <c r="Q418" s="171">
        <v>45</v>
      </c>
      <c r="R418" s="171">
        <v>13</v>
      </c>
      <c r="S418" s="171"/>
      <c r="T418" s="171"/>
      <c r="U418" s="171"/>
      <c r="V418" s="171"/>
      <c r="W418" s="171">
        <v>39</v>
      </c>
      <c r="X418" s="171">
        <f>7+33+1+2</f>
        <v>43</v>
      </c>
      <c r="Y418" s="171"/>
      <c r="Z418" s="171"/>
      <c r="AA418" s="171"/>
      <c r="AB418" s="171"/>
      <c r="AC418" s="171">
        <v>2</v>
      </c>
      <c r="AD418" s="171"/>
      <c r="AE418" s="171"/>
      <c r="AF418" s="171"/>
      <c r="AG418" s="172">
        <f t="shared" si="9"/>
        <v>251</v>
      </c>
      <c r="AH418" s="173">
        <f>D418-AG418</f>
        <v>69</v>
      </c>
    </row>
    <row r="419" spans="1:34" ht="35.25" hidden="1" x14ac:dyDescent="0.5">
      <c r="A419" s="127">
        <v>438</v>
      </c>
      <c r="B419" s="107" t="s">
        <v>898</v>
      </c>
      <c r="C419" s="60" t="s">
        <v>899</v>
      </c>
      <c r="D419" s="61">
        <v>600</v>
      </c>
      <c r="E419" s="171"/>
      <c r="F419" s="171"/>
      <c r="G419" s="171">
        <v>12</v>
      </c>
      <c r="H419" s="171"/>
      <c r="I419" s="171"/>
      <c r="J419" s="171">
        <v>12</v>
      </c>
      <c r="K419" s="171"/>
      <c r="L419" s="171"/>
      <c r="M419" s="171">
        <v>20</v>
      </c>
      <c r="N419" s="171">
        <f>34+16</f>
        <v>50</v>
      </c>
      <c r="O419" s="171"/>
      <c r="P419" s="171"/>
      <c r="Q419" s="171">
        <v>88</v>
      </c>
      <c r="R419" s="171">
        <v>13</v>
      </c>
      <c r="S419" s="171"/>
      <c r="T419" s="171"/>
      <c r="U419" s="171"/>
      <c r="V419" s="171"/>
      <c r="W419" s="171">
        <f>39+30</f>
        <v>69</v>
      </c>
      <c r="X419" s="171">
        <f>39</f>
        <v>39</v>
      </c>
      <c r="Y419" s="171"/>
      <c r="Z419" s="171"/>
      <c r="AA419" s="171"/>
      <c r="AB419" s="171"/>
      <c r="AC419" s="171">
        <v>11</v>
      </c>
      <c r="AD419" s="171">
        <v>15</v>
      </c>
      <c r="AE419" s="171"/>
      <c r="AF419" s="171"/>
      <c r="AG419" s="172">
        <f t="shared" si="9"/>
        <v>329</v>
      </c>
      <c r="AH419" s="173">
        <f>D419-AG419</f>
        <v>271</v>
      </c>
    </row>
    <row r="420" spans="1:34" ht="35.25" hidden="1" x14ac:dyDescent="0.5">
      <c r="A420" s="127">
        <v>439</v>
      </c>
      <c r="B420" s="107" t="s">
        <v>900</v>
      </c>
      <c r="C420" s="60" t="s">
        <v>901</v>
      </c>
      <c r="D420" s="61">
        <v>700</v>
      </c>
      <c r="E420" s="171"/>
      <c r="F420" s="171"/>
      <c r="G420" s="171">
        <v>12</v>
      </c>
      <c r="H420" s="171"/>
      <c r="I420" s="171"/>
      <c r="J420" s="171">
        <f>18+13</f>
        <v>31</v>
      </c>
      <c r="K420" s="171"/>
      <c r="L420" s="171"/>
      <c r="M420" s="171"/>
      <c r="N420" s="171"/>
      <c r="O420" s="171"/>
      <c r="P420" s="171"/>
      <c r="Q420" s="171"/>
      <c r="R420" s="171">
        <v>12</v>
      </c>
      <c r="S420" s="171"/>
      <c r="T420" s="171">
        <v>4</v>
      </c>
      <c r="U420" s="171"/>
      <c r="V420" s="171"/>
      <c r="W420" s="171">
        <v>30</v>
      </c>
      <c r="X420" s="171">
        <f>21+1</f>
        <v>22</v>
      </c>
      <c r="Y420" s="171"/>
      <c r="Z420" s="171"/>
      <c r="AA420" s="171"/>
      <c r="AB420" s="171"/>
      <c r="AC420" s="171">
        <v>102</v>
      </c>
      <c r="AD420" s="171"/>
      <c r="AE420" s="171"/>
      <c r="AF420" s="171">
        <v>15</v>
      </c>
      <c r="AG420" s="172">
        <f t="shared" si="9"/>
        <v>228</v>
      </c>
      <c r="AH420" s="173">
        <f>D420-AG420</f>
        <v>472</v>
      </c>
    </row>
    <row r="421" spans="1:34" ht="35.25" hidden="1" x14ac:dyDescent="0.5">
      <c r="A421" s="127">
        <v>440</v>
      </c>
      <c r="B421" s="107" t="s">
        <v>902</v>
      </c>
      <c r="C421" s="60" t="s">
        <v>903</v>
      </c>
      <c r="D421" s="61">
        <v>36</v>
      </c>
      <c r="E421" s="171"/>
      <c r="F421" s="171"/>
      <c r="G421" s="171"/>
      <c r="H421" s="171"/>
      <c r="I421" s="171"/>
      <c r="J421" s="171">
        <v>15</v>
      </c>
      <c r="K421" s="171"/>
      <c r="L421" s="171">
        <v>10</v>
      </c>
      <c r="M421" s="171"/>
      <c r="N421" s="171">
        <v>6</v>
      </c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>
        <v>18</v>
      </c>
      <c r="AD421" s="171"/>
      <c r="AE421" s="171"/>
      <c r="AF421" s="171"/>
      <c r="AG421" s="172">
        <f t="shared" si="9"/>
        <v>49</v>
      </c>
      <c r="AH421" s="173">
        <f>D421-AG421</f>
        <v>-13</v>
      </c>
    </row>
    <row r="422" spans="1:34" ht="35.25" hidden="1" x14ac:dyDescent="0.5">
      <c r="A422" s="127">
        <v>441</v>
      </c>
      <c r="B422" s="107" t="s">
        <v>908</v>
      </c>
      <c r="C422" s="60" t="s">
        <v>909</v>
      </c>
      <c r="D422" s="61">
        <v>60</v>
      </c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>
        <v>12</v>
      </c>
      <c r="S422" s="171"/>
      <c r="T422" s="171"/>
      <c r="U422" s="171"/>
      <c r="V422" s="171"/>
      <c r="W422" s="171">
        <v>30</v>
      </c>
      <c r="X422" s="171"/>
      <c r="Y422" s="171"/>
      <c r="Z422" s="171"/>
      <c r="AA422" s="171"/>
      <c r="AB422" s="171"/>
      <c r="AC422" s="171"/>
      <c r="AD422" s="171"/>
      <c r="AE422" s="171"/>
      <c r="AF422" s="171">
        <v>20</v>
      </c>
      <c r="AG422" s="172">
        <f>SUM(F422:AF422)</f>
        <v>62</v>
      </c>
      <c r="AH422" s="173">
        <f>D422-AG422</f>
        <v>-2</v>
      </c>
    </row>
    <row r="423" spans="1:34" ht="35.25" hidden="1" x14ac:dyDescent="0.5">
      <c r="A423" s="127">
        <v>442</v>
      </c>
      <c r="B423" s="107" t="s">
        <v>910</v>
      </c>
      <c r="C423" s="60" t="s">
        <v>911</v>
      </c>
      <c r="D423" s="61">
        <v>60</v>
      </c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>
        <v>30</v>
      </c>
      <c r="X423" s="171"/>
      <c r="Y423" s="171"/>
      <c r="Z423" s="171"/>
      <c r="AA423" s="171"/>
      <c r="AB423" s="171"/>
      <c r="AC423" s="171">
        <v>2</v>
      </c>
      <c r="AD423" s="171"/>
      <c r="AE423" s="171"/>
      <c r="AF423" s="171">
        <v>28</v>
      </c>
      <c r="AG423" s="172">
        <f t="shared" si="9"/>
        <v>60</v>
      </c>
      <c r="AH423" s="173">
        <f>D423-AG423</f>
        <v>0</v>
      </c>
    </row>
    <row r="424" spans="1:34" ht="35.25" hidden="1" x14ac:dyDescent="0.5">
      <c r="A424" s="127">
        <v>443</v>
      </c>
      <c r="B424" s="107" t="s">
        <v>912</v>
      </c>
      <c r="C424" s="60" t="s">
        <v>913</v>
      </c>
      <c r="D424" s="61">
        <v>60</v>
      </c>
      <c r="E424" s="171"/>
      <c r="F424" s="171"/>
      <c r="G424" s="171"/>
      <c r="H424" s="171"/>
      <c r="I424" s="171"/>
      <c r="J424" s="171"/>
      <c r="K424" s="171"/>
      <c r="L424" s="171"/>
      <c r="M424" s="171">
        <v>8</v>
      </c>
      <c r="N424" s="171"/>
      <c r="O424" s="171"/>
      <c r="P424" s="171"/>
      <c r="Q424" s="171"/>
      <c r="R424" s="171">
        <v>12</v>
      </c>
      <c r="S424" s="171"/>
      <c r="T424" s="171"/>
      <c r="U424" s="171"/>
      <c r="V424" s="171"/>
      <c r="W424" s="171">
        <v>30</v>
      </c>
      <c r="X424" s="171"/>
      <c r="Y424" s="171"/>
      <c r="Z424" s="171"/>
      <c r="AA424" s="171"/>
      <c r="AB424" s="171"/>
      <c r="AC424" s="171"/>
      <c r="AD424" s="171"/>
      <c r="AE424" s="171"/>
      <c r="AF424" s="171"/>
      <c r="AG424" s="172">
        <f t="shared" si="9"/>
        <v>50</v>
      </c>
      <c r="AH424" s="173">
        <f>D424-AG424</f>
        <v>10</v>
      </c>
    </row>
    <row r="425" spans="1:34" ht="35.25" hidden="1" x14ac:dyDescent="0.5">
      <c r="A425" s="127">
        <v>444</v>
      </c>
      <c r="B425" s="107" t="s">
        <v>918</v>
      </c>
      <c r="C425" s="60" t="s">
        <v>919</v>
      </c>
      <c r="D425" s="61">
        <v>12</v>
      </c>
      <c r="E425" s="171"/>
      <c r="F425" s="171"/>
      <c r="G425" s="171"/>
      <c r="H425" s="171"/>
      <c r="I425" s="171"/>
      <c r="J425" s="171"/>
      <c r="K425" s="171"/>
      <c r="L425" s="171">
        <v>1</v>
      </c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>
        <v>3</v>
      </c>
      <c r="Y425" s="171"/>
      <c r="Z425" s="171"/>
      <c r="AA425" s="171"/>
      <c r="AB425" s="171"/>
      <c r="AC425" s="171"/>
      <c r="AD425" s="171"/>
      <c r="AE425" s="171"/>
      <c r="AF425" s="171"/>
      <c r="AG425" s="172">
        <f t="shared" si="9"/>
        <v>4</v>
      </c>
      <c r="AH425" s="173">
        <f>D425-AG425</f>
        <v>8</v>
      </c>
    </row>
    <row r="426" spans="1:34" ht="35.25" hidden="1" x14ac:dyDescent="0.5">
      <c r="A426" s="127">
        <v>445</v>
      </c>
      <c r="B426" s="107" t="s">
        <v>920</v>
      </c>
      <c r="C426" s="60" t="s">
        <v>921</v>
      </c>
      <c r="D426" s="61">
        <v>12</v>
      </c>
      <c r="E426" s="171"/>
      <c r="F426" s="171"/>
      <c r="G426" s="171"/>
      <c r="H426" s="171"/>
      <c r="I426" s="171"/>
      <c r="J426" s="171"/>
      <c r="K426" s="171"/>
      <c r="L426" s="171">
        <v>1</v>
      </c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1"/>
      <c r="AD426" s="171"/>
      <c r="AE426" s="171"/>
      <c r="AF426" s="171"/>
      <c r="AG426" s="172">
        <f t="shared" si="9"/>
        <v>1</v>
      </c>
      <c r="AH426" s="173">
        <f>D426-AG426</f>
        <v>11</v>
      </c>
    </row>
    <row r="427" spans="1:34" ht="35.25" hidden="1" x14ac:dyDescent="0.5">
      <c r="A427" s="127">
        <v>446</v>
      </c>
      <c r="B427" s="107" t="s">
        <v>924</v>
      </c>
      <c r="C427" s="60" t="s">
        <v>925</v>
      </c>
      <c r="D427" s="61">
        <v>18</v>
      </c>
      <c r="E427" s="171"/>
      <c r="F427" s="171">
        <v>2</v>
      </c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>
        <v>20</v>
      </c>
      <c r="X427" s="171"/>
      <c r="Y427" s="171"/>
      <c r="Z427" s="171"/>
      <c r="AA427" s="171"/>
      <c r="AB427" s="171"/>
      <c r="AC427" s="171"/>
      <c r="AD427" s="171"/>
      <c r="AE427" s="171"/>
      <c r="AF427" s="171"/>
      <c r="AG427" s="172">
        <f t="shared" si="9"/>
        <v>22</v>
      </c>
      <c r="AH427" s="173">
        <f>D427-AG427</f>
        <v>-4</v>
      </c>
    </row>
    <row r="428" spans="1:34" ht="35.25" hidden="1" x14ac:dyDescent="0.5">
      <c r="A428" s="127">
        <v>447</v>
      </c>
      <c r="B428" s="107" t="s">
        <v>926</v>
      </c>
      <c r="C428" s="60" t="s">
        <v>927</v>
      </c>
      <c r="D428" s="61">
        <v>8</v>
      </c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>
        <v>1</v>
      </c>
      <c r="X428" s="171"/>
      <c r="Y428" s="171"/>
      <c r="Z428" s="171"/>
      <c r="AA428" s="171"/>
      <c r="AB428" s="171"/>
      <c r="AC428" s="171"/>
      <c r="AD428" s="171"/>
      <c r="AE428" s="171"/>
      <c r="AF428" s="171"/>
      <c r="AG428" s="172">
        <f t="shared" si="9"/>
        <v>1</v>
      </c>
      <c r="AH428" s="173">
        <f>D428-AG428</f>
        <v>7</v>
      </c>
    </row>
    <row r="429" spans="1:34" ht="35.25" hidden="1" x14ac:dyDescent="0.5">
      <c r="A429" s="127">
        <v>448</v>
      </c>
      <c r="B429" s="107" t="s">
        <v>928</v>
      </c>
      <c r="C429" s="60" t="s">
        <v>929</v>
      </c>
      <c r="D429" s="61">
        <v>6</v>
      </c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>
        <v>1</v>
      </c>
      <c r="X429" s="171"/>
      <c r="Y429" s="171"/>
      <c r="Z429" s="171"/>
      <c r="AA429" s="171"/>
      <c r="AB429" s="171"/>
      <c r="AC429" s="171"/>
      <c r="AD429" s="171"/>
      <c r="AE429" s="171"/>
      <c r="AF429" s="171"/>
      <c r="AG429" s="172">
        <f t="shared" si="9"/>
        <v>1</v>
      </c>
      <c r="AH429" s="173">
        <f>D429-AG429</f>
        <v>5</v>
      </c>
    </row>
    <row r="430" spans="1:34" ht="35.25" hidden="1" x14ac:dyDescent="0.5">
      <c r="A430" s="127">
        <v>449</v>
      </c>
      <c r="B430" s="107" t="s">
        <v>930</v>
      </c>
      <c r="C430" s="60" t="s">
        <v>931</v>
      </c>
      <c r="D430" s="61">
        <v>6</v>
      </c>
      <c r="E430" s="171"/>
      <c r="F430" s="171"/>
      <c r="G430" s="171"/>
      <c r="H430" s="171"/>
      <c r="I430" s="171"/>
      <c r="J430" s="171"/>
      <c r="K430" s="171"/>
      <c r="L430" s="171"/>
      <c r="M430" s="171"/>
      <c r="N430" s="171">
        <v>1</v>
      </c>
      <c r="O430" s="171"/>
      <c r="P430" s="171"/>
      <c r="Q430" s="171"/>
      <c r="R430" s="171">
        <v>1</v>
      </c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  <c r="AC430" s="171"/>
      <c r="AD430" s="171"/>
      <c r="AE430" s="171"/>
      <c r="AF430" s="171"/>
      <c r="AG430" s="172">
        <f t="shared" si="9"/>
        <v>2</v>
      </c>
      <c r="AH430" s="173">
        <f>D430-AG430</f>
        <v>4</v>
      </c>
    </row>
    <row r="431" spans="1:34" ht="35.25" hidden="1" x14ac:dyDescent="0.5">
      <c r="A431" s="127">
        <v>450</v>
      </c>
      <c r="B431" s="108" t="s">
        <v>932</v>
      </c>
      <c r="C431" s="63" t="s">
        <v>933</v>
      </c>
      <c r="D431" s="62">
        <v>36</v>
      </c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  <c r="AE431" s="171"/>
      <c r="AF431" s="171"/>
      <c r="AG431" s="172">
        <f t="shared" si="9"/>
        <v>0</v>
      </c>
      <c r="AH431" s="173">
        <f>D431-AG431</f>
        <v>36</v>
      </c>
    </row>
    <row r="432" spans="1:34" ht="35.25" hidden="1" x14ac:dyDescent="0.5">
      <c r="A432" s="127">
        <v>451</v>
      </c>
      <c r="B432" s="108" t="s">
        <v>934</v>
      </c>
      <c r="C432" s="63" t="s">
        <v>935</v>
      </c>
      <c r="D432" s="62">
        <v>4</v>
      </c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1"/>
      <c r="AD432" s="171"/>
      <c r="AE432" s="171"/>
      <c r="AF432" s="171"/>
      <c r="AG432" s="172">
        <f t="shared" si="9"/>
        <v>0</v>
      </c>
      <c r="AH432" s="173">
        <f>D432-AG432</f>
        <v>4</v>
      </c>
    </row>
    <row r="433" spans="1:34" ht="35.25" hidden="1" x14ac:dyDescent="0.5">
      <c r="A433" s="127">
        <v>452</v>
      </c>
      <c r="B433" s="108" t="s">
        <v>936</v>
      </c>
      <c r="C433" s="63" t="s">
        <v>937</v>
      </c>
      <c r="D433" s="62">
        <v>4</v>
      </c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/>
      <c r="AE433" s="171"/>
      <c r="AF433" s="171"/>
      <c r="AG433" s="172">
        <f t="shared" si="9"/>
        <v>0</v>
      </c>
      <c r="AH433" s="173">
        <f>D433-AG433</f>
        <v>4</v>
      </c>
    </row>
    <row r="434" spans="1:34" ht="35.25" hidden="1" x14ac:dyDescent="0.5">
      <c r="A434" s="127">
        <v>453</v>
      </c>
      <c r="B434" s="108" t="s">
        <v>940</v>
      </c>
      <c r="C434" s="63" t="s">
        <v>941</v>
      </c>
      <c r="D434" s="64">
        <v>2</v>
      </c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1"/>
      <c r="AD434" s="171"/>
      <c r="AE434" s="171"/>
      <c r="AF434" s="171"/>
      <c r="AG434" s="172">
        <f t="shared" si="9"/>
        <v>0</v>
      </c>
      <c r="AH434" s="173">
        <f>D434-AG434</f>
        <v>2</v>
      </c>
    </row>
    <row r="435" spans="1:34" ht="35.25" hidden="1" x14ac:dyDescent="0.5">
      <c r="A435" s="127">
        <v>454</v>
      </c>
      <c r="B435" s="108" t="s">
        <v>942</v>
      </c>
      <c r="C435" s="63" t="s">
        <v>943</v>
      </c>
      <c r="D435" s="62">
        <v>5</v>
      </c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1"/>
      <c r="AD435" s="171"/>
      <c r="AE435" s="171"/>
      <c r="AF435" s="171"/>
      <c r="AG435" s="172">
        <f t="shared" si="9"/>
        <v>0</v>
      </c>
      <c r="AH435" s="173">
        <f>D435-AG435</f>
        <v>5</v>
      </c>
    </row>
    <row r="436" spans="1:34" ht="35.25" hidden="1" x14ac:dyDescent="0.5">
      <c r="A436" s="127">
        <v>455</v>
      </c>
      <c r="B436" s="94" t="s">
        <v>951</v>
      </c>
      <c r="C436" s="35" t="s">
        <v>81</v>
      </c>
      <c r="D436" s="64">
        <v>1</v>
      </c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>
        <v>1</v>
      </c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  <c r="AC436" s="171"/>
      <c r="AD436" s="171"/>
      <c r="AE436" s="171"/>
      <c r="AF436" s="171"/>
      <c r="AG436" s="172">
        <f t="shared" si="9"/>
        <v>1</v>
      </c>
      <c r="AH436" s="173">
        <f>D436-AG436</f>
        <v>0</v>
      </c>
    </row>
    <row r="437" spans="1:34" ht="35.25" hidden="1" x14ac:dyDescent="0.5">
      <c r="A437" s="127">
        <v>458</v>
      </c>
      <c r="B437" s="109" t="s">
        <v>960</v>
      </c>
      <c r="C437" s="65" t="s">
        <v>961</v>
      </c>
      <c r="D437" s="65">
        <v>4</v>
      </c>
      <c r="E437" s="171"/>
      <c r="F437" s="171"/>
      <c r="G437" s="171"/>
      <c r="H437" s="171"/>
      <c r="I437" s="171"/>
      <c r="J437" s="171"/>
      <c r="K437" s="171"/>
      <c r="L437" s="179">
        <v>1</v>
      </c>
      <c r="M437" s="179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>
        <v>1</v>
      </c>
      <c r="X437" s="171"/>
      <c r="Y437" s="171"/>
      <c r="Z437" s="171"/>
      <c r="AA437" s="171"/>
      <c r="AB437" s="171"/>
      <c r="AC437" s="171"/>
      <c r="AD437" s="171"/>
      <c r="AE437" s="171"/>
      <c r="AF437" s="171"/>
      <c r="AG437" s="172">
        <f t="shared" ref="AG437:AG458" si="10">SUM(F437:AB437)</f>
        <v>2</v>
      </c>
      <c r="AH437" s="173">
        <f>D437-AG437</f>
        <v>2</v>
      </c>
    </row>
    <row r="438" spans="1:34" ht="35.25" hidden="1" x14ac:dyDescent="0.5">
      <c r="A438" s="127">
        <v>459</v>
      </c>
      <c r="B438" s="109" t="s">
        <v>962</v>
      </c>
      <c r="C438" s="65" t="s">
        <v>963</v>
      </c>
      <c r="D438" s="65">
        <v>4</v>
      </c>
      <c r="E438" s="171"/>
      <c r="F438" s="171"/>
      <c r="G438" s="171"/>
      <c r="H438" s="171"/>
      <c r="I438" s="171"/>
      <c r="J438" s="171"/>
      <c r="K438" s="171"/>
      <c r="L438" s="171"/>
      <c r="M438" s="171"/>
      <c r="N438" s="171">
        <v>1</v>
      </c>
      <c r="O438" s="171"/>
      <c r="P438" s="171"/>
      <c r="Q438" s="171"/>
      <c r="R438" s="171"/>
      <c r="S438" s="171"/>
      <c r="T438" s="171"/>
      <c r="U438" s="171"/>
      <c r="V438" s="171"/>
      <c r="W438" s="171">
        <v>1</v>
      </c>
      <c r="X438" s="171">
        <v>1</v>
      </c>
      <c r="Y438" s="171"/>
      <c r="Z438" s="171"/>
      <c r="AA438" s="171"/>
      <c r="AB438" s="171"/>
      <c r="AC438" s="171"/>
      <c r="AD438" s="171"/>
      <c r="AE438" s="171"/>
      <c r="AF438" s="171"/>
      <c r="AG438" s="172">
        <f t="shared" si="10"/>
        <v>3</v>
      </c>
      <c r="AH438" s="173">
        <f>D438-AG438</f>
        <v>1</v>
      </c>
    </row>
    <row r="439" spans="1:34" ht="35.25" hidden="1" x14ac:dyDescent="0.5">
      <c r="A439" s="127">
        <v>460</v>
      </c>
      <c r="B439" s="110" t="s">
        <v>1085</v>
      </c>
      <c r="C439" s="66" t="s">
        <v>965</v>
      </c>
      <c r="D439" s="66">
        <v>4</v>
      </c>
      <c r="E439" s="171"/>
      <c r="F439" s="171"/>
      <c r="G439" s="171"/>
      <c r="H439" s="171"/>
      <c r="I439" s="171"/>
      <c r="J439" s="171"/>
      <c r="K439" s="171"/>
      <c r="L439" s="171"/>
      <c r="M439" s="171">
        <v>1</v>
      </c>
      <c r="N439" s="171"/>
      <c r="O439" s="171"/>
      <c r="P439" s="171"/>
      <c r="Q439" s="171"/>
      <c r="R439" s="171"/>
      <c r="S439" s="171"/>
      <c r="T439" s="171"/>
      <c r="U439" s="171"/>
      <c r="V439" s="171"/>
      <c r="W439" s="171">
        <v>1</v>
      </c>
      <c r="X439" s="171">
        <v>1</v>
      </c>
      <c r="Y439" s="171"/>
      <c r="Z439" s="171"/>
      <c r="AA439" s="171"/>
      <c r="AB439" s="171"/>
      <c r="AC439" s="171"/>
      <c r="AD439" s="171"/>
      <c r="AE439" s="171"/>
      <c r="AF439" s="171"/>
      <c r="AG439" s="172">
        <f t="shared" si="10"/>
        <v>3</v>
      </c>
      <c r="AH439" s="173">
        <f>D439-AG439</f>
        <v>1</v>
      </c>
    </row>
    <row r="440" spans="1:34" ht="35.25" hidden="1" x14ac:dyDescent="0.5">
      <c r="A440" s="127">
        <v>461</v>
      </c>
      <c r="B440" s="109" t="s">
        <v>966</v>
      </c>
      <c r="C440" s="65" t="s">
        <v>967</v>
      </c>
      <c r="D440" s="130">
        <v>36</v>
      </c>
      <c r="E440" s="171"/>
      <c r="F440" s="171"/>
      <c r="G440" s="171"/>
      <c r="H440" s="171"/>
      <c r="I440" s="171">
        <v>1</v>
      </c>
      <c r="J440" s="171"/>
      <c r="K440" s="171"/>
      <c r="L440" s="171"/>
      <c r="M440" s="171"/>
      <c r="N440" s="171">
        <v>5</v>
      </c>
      <c r="O440" s="171"/>
      <c r="P440" s="171"/>
      <c r="Q440" s="171"/>
      <c r="R440" s="171"/>
      <c r="S440" s="171"/>
      <c r="T440" s="171"/>
      <c r="U440" s="171"/>
      <c r="V440" s="171"/>
      <c r="W440" s="171">
        <v>6</v>
      </c>
      <c r="X440" s="171">
        <f>6+1</f>
        <v>7</v>
      </c>
      <c r="Y440" s="171"/>
      <c r="Z440" s="171"/>
      <c r="AA440" s="171"/>
      <c r="AB440" s="171"/>
      <c r="AC440" s="171"/>
      <c r="AD440" s="171"/>
      <c r="AE440" s="171"/>
      <c r="AF440" s="171"/>
      <c r="AG440" s="172">
        <f t="shared" si="10"/>
        <v>19</v>
      </c>
      <c r="AH440" s="173">
        <f>D440-AG440</f>
        <v>17</v>
      </c>
    </row>
    <row r="441" spans="1:34" ht="35.25" hidden="1" x14ac:dyDescent="0.5">
      <c r="A441" s="127">
        <v>462</v>
      </c>
      <c r="B441" s="109" t="s">
        <v>968</v>
      </c>
      <c r="C441" s="65" t="s">
        <v>447</v>
      </c>
      <c r="D441" s="65">
        <v>12</v>
      </c>
      <c r="E441" s="171"/>
      <c r="F441" s="171"/>
      <c r="G441" s="171"/>
      <c r="H441" s="171"/>
      <c r="I441" s="171">
        <v>1</v>
      </c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>
        <v>6</v>
      </c>
      <c r="X441" s="171">
        <f>6</f>
        <v>6</v>
      </c>
      <c r="Y441" s="171"/>
      <c r="Z441" s="171"/>
      <c r="AA441" s="171"/>
      <c r="AB441" s="171"/>
      <c r="AC441" s="171"/>
      <c r="AD441" s="171"/>
      <c r="AE441" s="171"/>
      <c r="AF441" s="171"/>
      <c r="AG441" s="172">
        <f t="shared" si="10"/>
        <v>13</v>
      </c>
      <c r="AH441" s="173">
        <f>D441-AG441</f>
        <v>-1</v>
      </c>
    </row>
    <row r="442" spans="1:34" ht="36" hidden="1" x14ac:dyDescent="0.55000000000000004">
      <c r="A442" s="127">
        <v>463</v>
      </c>
      <c r="B442" s="111" t="s">
        <v>970</v>
      </c>
      <c r="C442" s="67" t="s">
        <v>971</v>
      </c>
      <c r="D442" s="67">
        <v>10</v>
      </c>
      <c r="E442" s="171"/>
      <c r="F442" s="180"/>
      <c r="G442" s="180"/>
      <c r="H442" s="180"/>
      <c r="I442" s="180"/>
      <c r="J442" s="180"/>
      <c r="K442" s="180"/>
      <c r="L442" s="180"/>
      <c r="M442" s="180"/>
      <c r="N442" s="180">
        <v>2</v>
      </c>
      <c r="O442" s="180"/>
      <c r="P442" s="180"/>
      <c r="Q442" s="180">
        <v>2</v>
      </c>
      <c r="R442" s="180"/>
      <c r="S442" s="180"/>
      <c r="T442" s="180"/>
      <c r="U442" s="180"/>
      <c r="V442" s="180"/>
      <c r="W442" s="180">
        <v>2</v>
      </c>
      <c r="X442" s="180"/>
      <c r="Y442" s="180"/>
      <c r="Z442" s="180"/>
      <c r="AA442" s="180"/>
      <c r="AB442" s="180"/>
      <c r="AC442" s="180"/>
      <c r="AD442" s="180"/>
      <c r="AE442" s="180"/>
      <c r="AF442" s="180">
        <v>1</v>
      </c>
      <c r="AG442" s="172">
        <f>SUM(F442:AF442)</f>
        <v>7</v>
      </c>
      <c r="AH442" s="173">
        <f>D442-AG442</f>
        <v>3</v>
      </c>
    </row>
    <row r="443" spans="1:34" ht="36" hidden="1" x14ac:dyDescent="0.55000000000000004">
      <c r="A443" s="127">
        <v>464</v>
      </c>
      <c r="B443" s="111" t="s">
        <v>972</v>
      </c>
      <c r="C443" s="67" t="s">
        <v>973</v>
      </c>
      <c r="D443" s="67">
        <v>2</v>
      </c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>
        <v>1</v>
      </c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  <c r="AG443" s="172">
        <f t="shared" si="10"/>
        <v>1</v>
      </c>
      <c r="AH443" s="173">
        <f>D443-AG443</f>
        <v>1</v>
      </c>
    </row>
    <row r="444" spans="1:34" ht="36" hidden="1" x14ac:dyDescent="0.55000000000000004">
      <c r="A444" s="127">
        <v>465</v>
      </c>
      <c r="B444" s="111" t="s">
        <v>974</v>
      </c>
      <c r="C444" s="67" t="s">
        <v>975</v>
      </c>
      <c r="D444" s="67">
        <v>16</v>
      </c>
      <c r="E444" s="180"/>
      <c r="F444" s="180"/>
      <c r="G444" s="180"/>
      <c r="H444" s="180"/>
      <c r="I444" s="180"/>
      <c r="J444" s="180">
        <v>3</v>
      </c>
      <c r="K444" s="180"/>
      <c r="L444" s="180"/>
      <c r="M444" s="180"/>
      <c r="N444" s="180">
        <v>2</v>
      </c>
      <c r="O444" s="180"/>
      <c r="P444" s="180"/>
      <c r="Q444" s="180"/>
      <c r="R444" s="180">
        <v>1</v>
      </c>
      <c r="S444" s="180"/>
      <c r="T444" s="180"/>
      <c r="U444" s="180"/>
      <c r="V444" s="180"/>
      <c r="W444" s="180">
        <v>2</v>
      </c>
      <c r="X444" s="180">
        <v>2</v>
      </c>
      <c r="Y444" s="180"/>
      <c r="Z444" s="180"/>
      <c r="AA444" s="180"/>
      <c r="AB444" s="180"/>
      <c r="AC444" s="180"/>
      <c r="AD444" s="180"/>
      <c r="AE444" s="180"/>
      <c r="AF444" s="180"/>
      <c r="AG444" s="172">
        <f t="shared" si="10"/>
        <v>10</v>
      </c>
      <c r="AH444" s="173">
        <f>D444-AG444</f>
        <v>6</v>
      </c>
    </row>
    <row r="445" spans="1:34" ht="36" hidden="1" x14ac:dyDescent="0.55000000000000004">
      <c r="A445" s="127">
        <v>466</v>
      </c>
      <c r="B445" s="111" t="s">
        <v>976</v>
      </c>
      <c r="C445" s="67" t="s">
        <v>977</v>
      </c>
      <c r="D445" s="67">
        <v>1</v>
      </c>
      <c r="E445" s="180">
        <v>2</v>
      </c>
      <c r="F445" s="180">
        <v>1</v>
      </c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  <c r="AG445" s="172">
        <f t="shared" si="10"/>
        <v>1</v>
      </c>
      <c r="AH445" s="173">
        <f>D445-AG445</f>
        <v>0</v>
      </c>
    </row>
    <row r="446" spans="1:34" ht="36" hidden="1" x14ac:dyDescent="0.55000000000000004">
      <c r="A446" s="127">
        <v>467</v>
      </c>
      <c r="B446" s="111" t="s">
        <v>978</v>
      </c>
      <c r="C446" s="67" t="s">
        <v>979</v>
      </c>
      <c r="D446" s="67">
        <v>5</v>
      </c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>
        <v>2</v>
      </c>
      <c r="R446" s="180"/>
      <c r="S446" s="180"/>
      <c r="T446" s="180"/>
      <c r="U446" s="180"/>
      <c r="V446" s="180"/>
      <c r="W446" s="180">
        <v>1</v>
      </c>
      <c r="X446" s="180"/>
      <c r="Y446" s="180"/>
      <c r="Z446" s="180"/>
      <c r="AA446" s="180"/>
      <c r="AB446" s="180"/>
      <c r="AC446" s="180"/>
      <c r="AD446" s="180"/>
      <c r="AE446" s="180"/>
      <c r="AF446" s="180"/>
      <c r="AG446" s="172">
        <f t="shared" si="10"/>
        <v>3</v>
      </c>
      <c r="AH446" s="173">
        <f>D446-AG446</f>
        <v>2</v>
      </c>
    </row>
    <row r="447" spans="1:34" ht="36" hidden="1" x14ac:dyDescent="0.55000000000000004">
      <c r="A447" s="127">
        <v>468</v>
      </c>
      <c r="B447" s="111" t="s">
        <v>980</v>
      </c>
      <c r="C447" s="67" t="s">
        <v>981</v>
      </c>
      <c r="D447" s="67">
        <v>14</v>
      </c>
      <c r="E447" s="180"/>
      <c r="F447" s="180">
        <v>2</v>
      </c>
      <c r="G447" s="180"/>
      <c r="H447" s="180"/>
      <c r="I447" s="180"/>
      <c r="J447" s="180"/>
      <c r="K447" s="180"/>
      <c r="L447" s="180"/>
      <c r="M447" s="180"/>
      <c r="N447" s="180">
        <v>3</v>
      </c>
      <c r="O447" s="180"/>
      <c r="P447" s="180"/>
      <c r="Q447" s="180"/>
      <c r="R447" s="180"/>
      <c r="S447" s="180"/>
      <c r="T447" s="180"/>
      <c r="U447" s="180"/>
      <c r="V447" s="180"/>
      <c r="W447" s="180">
        <v>5</v>
      </c>
      <c r="X447" s="180">
        <v>3</v>
      </c>
      <c r="Y447" s="180"/>
      <c r="Z447" s="180"/>
      <c r="AA447" s="180"/>
      <c r="AB447" s="180"/>
      <c r="AC447" s="180"/>
      <c r="AD447" s="180"/>
      <c r="AE447" s="180"/>
      <c r="AF447" s="180"/>
      <c r="AG447" s="172">
        <f t="shared" si="10"/>
        <v>13</v>
      </c>
      <c r="AH447" s="173">
        <f>D447-AG447</f>
        <v>1</v>
      </c>
    </row>
    <row r="448" spans="1:34" ht="36" hidden="1" x14ac:dyDescent="0.55000000000000004">
      <c r="A448" s="127">
        <v>469</v>
      </c>
      <c r="B448" s="111" t="s">
        <v>982</v>
      </c>
      <c r="C448" s="67" t="s">
        <v>983</v>
      </c>
      <c r="D448" s="67">
        <v>21</v>
      </c>
      <c r="E448" s="180"/>
      <c r="F448" s="180"/>
      <c r="G448" s="180"/>
      <c r="H448" s="180"/>
      <c r="I448" s="180"/>
      <c r="J448" s="180">
        <v>3</v>
      </c>
      <c r="K448" s="180"/>
      <c r="L448" s="180"/>
      <c r="M448" s="180"/>
      <c r="N448" s="180"/>
      <c r="O448" s="180"/>
      <c r="P448" s="180"/>
      <c r="Q448" s="180">
        <v>2</v>
      </c>
      <c r="R448" s="180"/>
      <c r="S448" s="180"/>
      <c r="T448" s="180"/>
      <c r="U448" s="180"/>
      <c r="V448" s="180"/>
      <c r="W448" s="180">
        <v>7</v>
      </c>
      <c r="X448" s="180">
        <v>3</v>
      </c>
      <c r="Y448" s="180"/>
      <c r="Z448" s="180"/>
      <c r="AA448" s="180"/>
      <c r="AB448" s="180"/>
      <c r="AC448" s="180"/>
      <c r="AD448" s="180"/>
      <c r="AE448" s="180"/>
      <c r="AF448" s="180"/>
      <c r="AG448" s="172">
        <f t="shared" si="10"/>
        <v>15</v>
      </c>
      <c r="AH448" s="173">
        <f>D448-AG448</f>
        <v>6</v>
      </c>
    </row>
    <row r="449" spans="1:34" ht="36" hidden="1" x14ac:dyDescent="0.55000000000000004">
      <c r="A449" s="127">
        <v>470</v>
      </c>
      <c r="B449" s="111" t="s">
        <v>984</v>
      </c>
      <c r="C449" s="67" t="s">
        <v>985</v>
      </c>
      <c r="D449" s="67">
        <v>2</v>
      </c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72">
        <f t="shared" si="10"/>
        <v>0</v>
      </c>
      <c r="AH449" s="173">
        <f>D449-AG449</f>
        <v>2</v>
      </c>
    </row>
    <row r="450" spans="1:34" ht="36" hidden="1" x14ac:dyDescent="0.55000000000000004">
      <c r="A450" s="127">
        <v>471</v>
      </c>
      <c r="B450" s="112" t="s">
        <v>986</v>
      </c>
      <c r="C450" s="68" t="s">
        <v>987</v>
      </c>
      <c r="D450" s="68">
        <v>5</v>
      </c>
      <c r="E450" s="180"/>
      <c r="F450" s="180"/>
      <c r="G450" s="180"/>
      <c r="H450" s="180"/>
      <c r="I450" s="180"/>
      <c r="J450" s="180"/>
      <c r="K450" s="180"/>
      <c r="L450" s="180"/>
      <c r="M450" s="180"/>
      <c r="N450" s="180">
        <v>1</v>
      </c>
      <c r="O450" s="180"/>
      <c r="P450" s="180"/>
      <c r="Q450" s="180"/>
      <c r="R450" s="180"/>
      <c r="S450" s="180"/>
      <c r="T450" s="180"/>
      <c r="U450" s="180"/>
      <c r="V450" s="180"/>
      <c r="W450" s="180">
        <v>3</v>
      </c>
      <c r="X450" s="180">
        <v>1</v>
      </c>
      <c r="Y450" s="180"/>
      <c r="Z450" s="180"/>
      <c r="AA450" s="180"/>
      <c r="AB450" s="180"/>
      <c r="AC450" s="180"/>
      <c r="AD450" s="180"/>
      <c r="AE450" s="180"/>
      <c r="AF450" s="180"/>
      <c r="AG450" s="172">
        <f t="shared" si="10"/>
        <v>5</v>
      </c>
      <c r="AH450" s="173">
        <f>D450-AG450</f>
        <v>0</v>
      </c>
    </row>
    <row r="451" spans="1:34" ht="26.25" hidden="1" customHeight="1" x14ac:dyDescent="0.55000000000000004">
      <c r="A451" s="127">
        <v>472</v>
      </c>
      <c r="B451" s="112" t="s">
        <v>1007</v>
      </c>
      <c r="C451" s="68" t="s">
        <v>989</v>
      </c>
      <c r="D451" s="68">
        <v>5</v>
      </c>
      <c r="E451" s="180"/>
      <c r="F451" s="180"/>
      <c r="G451" s="180"/>
      <c r="H451" s="180"/>
      <c r="I451" s="180"/>
      <c r="J451" s="180"/>
      <c r="K451" s="180"/>
      <c r="L451" s="180"/>
      <c r="M451" s="180"/>
      <c r="N451" s="180">
        <v>2</v>
      </c>
      <c r="O451" s="180"/>
      <c r="P451" s="180"/>
      <c r="Q451" s="180"/>
      <c r="R451" s="180"/>
      <c r="S451" s="180"/>
      <c r="T451" s="180"/>
      <c r="U451" s="180"/>
      <c r="V451" s="180"/>
      <c r="W451" s="180">
        <v>1</v>
      </c>
      <c r="X451" s="180">
        <v>2</v>
      </c>
      <c r="Y451" s="180"/>
      <c r="Z451" s="180"/>
      <c r="AA451" s="180"/>
      <c r="AB451" s="180">
        <v>1</v>
      </c>
      <c r="AC451" s="180"/>
      <c r="AD451" s="180"/>
      <c r="AE451" s="180"/>
      <c r="AF451" s="180"/>
      <c r="AG451" s="172">
        <f t="shared" si="10"/>
        <v>6</v>
      </c>
      <c r="AH451" s="173">
        <f>D451-AG451</f>
        <v>-1</v>
      </c>
    </row>
    <row r="452" spans="1:34" ht="36" hidden="1" x14ac:dyDescent="0.55000000000000004">
      <c r="A452" s="127">
        <v>473</v>
      </c>
      <c r="B452" s="112" t="s">
        <v>991</v>
      </c>
      <c r="C452" s="68" t="s">
        <v>990</v>
      </c>
      <c r="D452" s="69">
        <v>2</v>
      </c>
      <c r="E452" s="180"/>
      <c r="F452" s="180"/>
      <c r="G452" s="180"/>
      <c r="H452" s="180"/>
      <c r="I452" s="180"/>
      <c r="J452" s="180">
        <v>1</v>
      </c>
      <c r="K452" s="180"/>
      <c r="L452" s="180"/>
      <c r="M452" s="180"/>
      <c r="N452" s="180">
        <v>2</v>
      </c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72">
        <f t="shared" si="10"/>
        <v>3</v>
      </c>
      <c r="AH452" s="173">
        <f>D452-AG452</f>
        <v>-1</v>
      </c>
    </row>
    <row r="453" spans="1:34" ht="36" hidden="1" x14ac:dyDescent="0.55000000000000004">
      <c r="A453" s="127">
        <v>474</v>
      </c>
      <c r="B453" s="113" t="s">
        <v>525</v>
      </c>
      <c r="C453" s="78" t="s">
        <v>995</v>
      </c>
      <c r="D453" s="79">
        <v>4</v>
      </c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72">
        <f t="shared" si="10"/>
        <v>0</v>
      </c>
      <c r="AH453" s="173">
        <f>D453-AG453</f>
        <v>4</v>
      </c>
    </row>
    <row r="454" spans="1:34" ht="36" hidden="1" x14ac:dyDescent="0.55000000000000004">
      <c r="A454" s="127">
        <v>475</v>
      </c>
      <c r="B454" s="113" t="s">
        <v>629</v>
      </c>
      <c r="C454" s="78" t="s">
        <v>996</v>
      </c>
      <c r="D454" s="80">
        <v>50</v>
      </c>
      <c r="E454" s="180"/>
      <c r="F454" s="180"/>
      <c r="G454" s="180"/>
      <c r="H454" s="180"/>
      <c r="I454" s="180">
        <v>10</v>
      </c>
      <c r="J454" s="180">
        <v>15</v>
      </c>
      <c r="K454" s="180"/>
      <c r="L454" s="180"/>
      <c r="M454" s="180"/>
      <c r="N454" s="180">
        <v>15</v>
      </c>
      <c r="O454" s="180"/>
      <c r="P454" s="180"/>
      <c r="Q454" s="180"/>
      <c r="R454" s="180"/>
      <c r="S454" s="180"/>
      <c r="T454" s="180"/>
      <c r="U454" s="180"/>
      <c r="V454" s="180"/>
      <c r="W454" s="180"/>
      <c r="X454" s="180">
        <v>23</v>
      </c>
      <c r="Y454" s="180"/>
      <c r="Z454" s="180"/>
      <c r="AA454" s="180"/>
      <c r="AB454" s="180"/>
      <c r="AC454" s="180"/>
      <c r="AD454" s="180"/>
      <c r="AE454" s="180"/>
      <c r="AF454" s="180"/>
      <c r="AG454" s="172">
        <f t="shared" si="10"/>
        <v>63</v>
      </c>
      <c r="AH454" s="173">
        <f>D454-AG454</f>
        <v>-13</v>
      </c>
    </row>
    <row r="455" spans="1:34" ht="36" hidden="1" x14ac:dyDescent="0.55000000000000004">
      <c r="A455" s="127">
        <v>476</v>
      </c>
      <c r="B455" s="113" t="s">
        <v>997</v>
      </c>
      <c r="C455" s="78" t="s">
        <v>998</v>
      </c>
      <c r="D455" s="80">
        <v>18</v>
      </c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>
        <v>5</v>
      </c>
      <c r="AE455" s="180"/>
      <c r="AF455" s="180"/>
      <c r="AG455" s="172">
        <f t="shared" si="10"/>
        <v>0</v>
      </c>
      <c r="AH455" s="173">
        <f>D455-AG455</f>
        <v>18</v>
      </c>
    </row>
    <row r="456" spans="1:34" ht="36" hidden="1" x14ac:dyDescent="0.55000000000000004">
      <c r="A456" s="127">
        <v>477</v>
      </c>
      <c r="B456" s="113" t="s">
        <v>999</v>
      </c>
      <c r="C456" s="78" t="s">
        <v>1000</v>
      </c>
      <c r="D456" s="80">
        <v>18</v>
      </c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>
        <v>1</v>
      </c>
      <c r="AE456" s="180"/>
      <c r="AF456" s="180">
        <v>4</v>
      </c>
      <c r="AG456" s="172">
        <f t="shared" si="10"/>
        <v>0</v>
      </c>
      <c r="AH456" s="173">
        <f>D456-AG456</f>
        <v>18</v>
      </c>
    </row>
    <row r="457" spans="1:34" ht="36" hidden="1" x14ac:dyDescent="0.55000000000000004">
      <c r="A457" s="127">
        <v>478</v>
      </c>
      <c r="B457" s="113" t="s">
        <v>1001</v>
      </c>
      <c r="C457" s="78" t="s">
        <v>1002</v>
      </c>
      <c r="D457" s="80">
        <v>6</v>
      </c>
      <c r="E457" s="180"/>
      <c r="F457" s="180"/>
      <c r="G457" s="180"/>
      <c r="H457" s="180"/>
      <c r="I457" s="180">
        <v>5</v>
      </c>
      <c r="J457" s="180"/>
      <c r="K457" s="180"/>
      <c r="L457" s="180"/>
      <c r="M457" s="180"/>
      <c r="N457" s="180">
        <v>6</v>
      </c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72">
        <f t="shared" si="10"/>
        <v>11</v>
      </c>
      <c r="AH457" s="173">
        <f>D457-AG457</f>
        <v>-5</v>
      </c>
    </row>
    <row r="458" spans="1:34" ht="27" hidden="1" customHeight="1" x14ac:dyDescent="0.55000000000000004">
      <c r="A458" s="127">
        <v>479</v>
      </c>
      <c r="B458" s="113" t="s">
        <v>1003</v>
      </c>
      <c r="C458" s="78" t="s">
        <v>1004</v>
      </c>
      <c r="D458" s="81">
        <v>96</v>
      </c>
      <c r="E458" s="180"/>
      <c r="F458" s="180"/>
      <c r="G458" s="180"/>
      <c r="H458" s="180"/>
      <c r="I458" s="180"/>
      <c r="J458" s="180"/>
      <c r="K458" s="180"/>
      <c r="L458" s="180"/>
      <c r="M458" s="180"/>
      <c r="N458" s="180">
        <f>10+15</f>
        <v>25</v>
      </c>
      <c r="O458" s="180"/>
      <c r="P458" s="180"/>
      <c r="Q458" s="180"/>
      <c r="R458" s="180">
        <v>32</v>
      </c>
      <c r="S458" s="180"/>
      <c r="T458" s="180"/>
      <c r="U458" s="180"/>
      <c r="V458" s="180"/>
      <c r="W458" s="180"/>
      <c r="X458" s="180">
        <v>15</v>
      </c>
      <c r="Y458" s="180"/>
      <c r="Z458" s="180"/>
      <c r="AA458" s="180"/>
      <c r="AB458" s="180"/>
      <c r="AC458" s="180"/>
      <c r="AD458" s="180">
        <v>1</v>
      </c>
      <c r="AE458" s="180"/>
      <c r="AF458" s="180">
        <v>1</v>
      </c>
      <c r="AG458" s="172">
        <f t="shared" si="10"/>
        <v>72</v>
      </c>
      <c r="AH458" s="173">
        <f>D458-AG458</f>
        <v>24</v>
      </c>
    </row>
    <row r="459" spans="1:34" ht="36" hidden="1" x14ac:dyDescent="0.55000000000000004">
      <c r="A459" s="127">
        <v>480</v>
      </c>
      <c r="B459" s="113" t="s">
        <v>1005</v>
      </c>
      <c r="C459" s="78" t="s">
        <v>1006</v>
      </c>
      <c r="D459" s="80">
        <v>6</v>
      </c>
      <c r="E459" s="180"/>
      <c r="F459" s="180">
        <v>1</v>
      </c>
      <c r="G459" s="180"/>
      <c r="H459" s="180"/>
      <c r="I459" s="180"/>
      <c r="J459" s="180"/>
      <c r="K459" s="180"/>
      <c r="L459" s="180">
        <v>1</v>
      </c>
      <c r="M459" s="180"/>
      <c r="N459" s="180">
        <v>1</v>
      </c>
      <c r="O459" s="180"/>
      <c r="P459" s="180"/>
      <c r="Q459" s="180"/>
      <c r="R459" s="180"/>
      <c r="S459" s="180"/>
      <c r="T459" s="180"/>
      <c r="U459" s="180"/>
      <c r="V459" s="180"/>
      <c r="W459" s="180">
        <v>1</v>
      </c>
      <c r="X459" s="180">
        <v>1</v>
      </c>
      <c r="Y459" s="180"/>
      <c r="Z459" s="180"/>
      <c r="AA459" s="180"/>
      <c r="AB459" s="180"/>
      <c r="AC459" s="180"/>
      <c r="AD459" s="180">
        <v>1</v>
      </c>
      <c r="AE459" s="180"/>
      <c r="AF459" s="180"/>
      <c r="AG459" s="172">
        <f>SUM(F459:AF459)</f>
        <v>6</v>
      </c>
      <c r="AH459" s="173">
        <f>D459-AG459</f>
        <v>0</v>
      </c>
    </row>
    <row r="460" spans="1:34" ht="36" hidden="1" x14ac:dyDescent="0.55000000000000004">
      <c r="A460" s="127">
        <v>481</v>
      </c>
      <c r="B460" s="96" t="s">
        <v>1009</v>
      </c>
      <c r="C460" s="37" t="s">
        <v>1010</v>
      </c>
      <c r="D460" s="38">
        <v>1</v>
      </c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>
        <v>1</v>
      </c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72">
        <f>SUM(F460:AF460)</f>
        <v>1</v>
      </c>
      <c r="AH460" s="173">
        <f>D460-AG460</f>
        <v>0</v>
      </c>
    </row>
    <row r="461" spans="1:34" ht="36" hidden="1" x14ac:dyDescent="0.55000000000000004">
      <c r="A461" s="127">
        <v>482</v>
      </c>
      <c r="B461" s="114" t="s">
        <v>1011</v>
      </c>
      <c r="C461" s="71" t="s">
        <v>1012</v>
      </c>
      <c r="D461" s="71">
        <v>124</v>
      </c>
      <c r="E461" s="180"/>
      <c r="F461" s="180"/>
      <c r="G461" s="180">
        <v>12</v>
      </c>
      <c r="H461" s="180"/>
      <c r="I461" s="180">
        <v>10</v>
      </c>
      <c r="J461" s="180">
        <v>12</v>
      </c>
      <c r="K461" s="180"/>
      <c r="L461" s="180"/>
      <c r="M461" s="180"/>
      <c r="N461" s="171">
        <v>15</v>
      </c>
      <c r="O461" s="180"/>
      <c r="P461" s="180"/>
      <c r="Q461" s="180"/>
      <c r="R461" s="180">
        <v>15</v>
      </c>
      <c r="S461" s="180">
        <v>6</v>
      </c>
      <c r="T461" s="180"/>
      <c r="U461" s="180"/>
      <c r="V461" s="180"/>
      <c r="W461" s="180">
        <v>10</v>
      </c>
      <c r="X461" s="180">
        <f>10</f>
        <v>10</v>
      </c>
      <c r="Y461" s="180"/>
      <c r="Z461" s="180"/>
      <c r="AA461" s="180"/>
      <c r="AB461" s="180"/>
      <c r="AC461" s="180"/>
      <c r="AD461" s="180">
        <v>1</v>
      </c>
      <c r="AE461" s="180"/>
      <c r="AF461" s="180"/>
      <c r="AG461" s="172">
        <f t="shared" ref="AG461:AG472" si="11">SUM(F461:AF461)</f>
        <v>91</v>
      </c>
      <c r="AH461" s="173">
        <f>D461-AG461</f>
        <v>33</v>
      </c>
    </row>
    <row r="462" spans="1:34" ht="36" hidden="1" x14ac:dyDescent="0.55000000000000004">
      <c r="A462" s="127">
        <v>483</v>
      </c>
      <c r="B462" s="115" t="s">
        <v>1013</v>
      </c>
      <c r="C462" s="87" t="s">
        <v>1014</v>
      </c>
      <c r="D462" s="87">
        <v>115</v>
      </c>
      <c r="E462" s="180"/>
      <c r="F462" s="180"/>
      <c r="G462" s="180"/>
      <c r="H462" s="180"/>
      <c r="I462" s="180">
        <v>10</v>
      </c>
      <c r="J462" s="180">
        <f>15+12</f>
        <v>27</v>
      </c>
      <c r="K462" s="180"/>
      <c r="L462" s="180"/>
      <c r="M462" s="180"/>
      <c r="N462" s="180">
        <v>14</v>
      </c>
      <c r="O462" s="180"/>
      <c r="P462" s="180"/>
      <c r="Q462" s="180"/>
      <c r="R462" s="180"/>
      <c r="S462" s="180"/>
      <c r="T462" s="180"/>
      <c r="U462" s="180"/>
      <c r="V462" s="180"/>
      <c r="W462" s="180">
        <v>10</v>
      </c>
      <c r="X462" s="180"/>
      <c r="Y462" s="180"/>
      <c r="Z462" s="180"/>
      <c r="AA462" s="180"/>
      <c r="AB462" s="180"/>
      <c r="AC462" s="180"/>
      <c r="AD462" s="180"/>
      <c r="AE462" s="180"/>
      <c r="AF462" s="180">
        <v>5</v>
      </c>
      <c r="AG462" s="172">
        <f t="shared" si="11"/>
        <v>66</v>
      </c>
      <c r="AH462" s="173">
        <f>D462-AG462</f>
        <v>49</v>
      </c>
    </row>
    <row r="463" spans="1:34" ht="36" hidden="1" x14ac:dyDescent="0.55000000000000004">
      <c r="A463" s="127">
        <v>484</v>
      </c>
      <c r="B463" s="116" t="s">
        <v>1015</v>
      </c>
      <c r="C463" s="83" t="s">
        <v>1030</v>
      </c>
      <c r="D463" s="82">
        <v>133</v>
      </c>
      <c r="E463" s="180">
        <v>2</v>
      </c>
      <c r="F463" s="182">
        <v>6</v>
      </c>
      <c r="G463" s="182">
        <v>3</v>
      </c>
      <c r="H463" s="182"/>
      <c r="I463" s="182">
        <v>1</v>
      </c>
      <c r="J463" s="182">
        <v>5</v>
      </c>
      <c r="K463" s="182"/>
      <c r="L463" s="182">
        <v>1</v>
      </c>
      <c r="M463" s="182">
        <v>4</v>
      </c>
      <c r="N463" s="182">
        <v>21</v>
      </c>
      <c r="O463" s="182"/>
      <c r="P463" s="182"/>
      <c r="Q463" s="182"/>
      <c r="R463" s="182">
        <v>5</v>
      </c>
      <c r="S463" s="182"/>
      <c r="T463" s="182"/>
      <c r="U463" s="182"/>
      <c r="V463" s="182"/>
      <c r="W463" s="182">
        <v>7</v>
      </c>
      <c r="X463" s="182">
        <v>12</v>
      </c>
      <c r="Y463" s="182"/>
      <c r="Z463" s="182"/>
      <c r="AA463" s="182"/>
      <c r="AB463" s="182"/>
      <c r="AC463" s="182"/>
      <c r="AD463" s="182"/>
      <c r="AE463" s="182"/>
      <c r="AF463" s="182"/>
      <c r="AG463" s="172">
        <f t="shared" si="11"/>
        <v>65</v>
      </c>
      <c r="AH463" s="173">
        <f>D463-AG463</f>
        <v>68</v>
      </c>
    </row>
    <row r="464" spans="1:34" ht="30" hidden="1" customHeight="1" x14ac:dyDescent="0.55000000000000004">
      <c r="A464" s="127">
        <v>485</v>
      </c>
      <c r="B464" s="116" t="s">
        <v>1016</v>
      </c>
      <c r="C464" s="83" t="s">
        <v>1076</v>
      </c>
      <c r="D464" s="82">
        <v>50</v>
      </c>
      <c r="E464" s="182"/>
      <c r="F464" s="180">
        <v>4</v>
      </c>
      <c r="G464" s="180"/>
      <c r="H464" s="180"/>
      <c r="I464" s="180"/>
      <c r="J464" s="180">
        <v>5</v>
      </c>
      <c r="K464" s="180"/>
      <c r="L464" s="180"/>
      <c r="M464" s="180">
        <v>5</v>
      </c>
      <c r="N464" s="180">
        <v>18</v>
      </c>
      <c r="O464" s="180"/>
      <c r="P464" s="180"/>
      <c r="Q464" s="180"/>
      <c r="R464" s="180">
        <f>5+3+1</f>
        <v>9</v>
      </c>
      <c r="S464" s="180"/>
      <c r="T464" s="180"/>
      <c r="U464" s="180"/>
      <c r="V464" s="180"/>
      <c r="W464" s="180">
        <v>12</v>
      </c>
      <c r="X464" s="180">
        <v>10</v>
      </c>
      <c r="Y464" s="180"/>
      <c r="Z464" s="180"/>
      <c r="AA464" s="180"/>
      <c r="AB464" s="180"/>
      <c r="AC464" s="180"/>
      <c r="AD464" s="180">
        <v>1</v>
      </c>
      <c r="AE464" s="180"/>
      <c r="AF464" s="180">
        <v>2</v>
      </c>
      <c r="AG464" s="172">
        <f t="shared" si="11"/>
        <v>66</v>
      </c>
      <c r="AH464" s="173">
        <f>D464-AG464</f>
        <v>-16</v>
      </c>
    </row>
    <row r="465" spans="1:34" ht="36" hidden="1" x14ac:dyDescent="0.55000000000000004">
      <c r="A465" s="127">
        <v>486</v>
      </c>
      <c r="B465" s="115" t="s">
        <v>1017</v>
      </c>
      <c r="C465" s="87" t="s">
        <v>1018</v>
      </c>
      <c r="D465" s="88">
        <v>20</v>
      </c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>
        <v>10</v>
      </c>
      <c r="X465" s="180"/>
      <c r="Y465" s="180"/>
      <c r="Z465" s="180"/>
      <c r="AA465" s="180"/>
      <c r="AB465" s="180"/>
      <c r="AC465" s="180"/>
      <c r="AD465" s="180"/>
      <c r="AE465" s="180">
        <v>1</v>
      </c>
      <c r="AF465" s="180">
        <f>1+1</f>
        <v>2</v>
      </c>
      <c r="AG465" s="172">
        <f t="shared" si="11"/>
        <v>13</v>
      </c>
      <c r="AH465" s="173">
        <f>D465-AG465</f>
        <v>7</v>
      </c>
    </row>
    <row r="466" spans="1:34" ht="36" hidden="1" x14ac:dyDescent="0.55000000000000004">
      <c r="A466" s="127">
        <v>487</v>
      </c>
      <c r="B466" s="117" t="s">
        <v>1020</v>
      </c>
      <c r="C466" s="89" t="s">
        <v>1019</v>
      </c>
      <c r="D466" s="89">
        <v>50</v>
      </c>
      <c r="E466" s="180"/>
      <c r="F466" s="180"/>
      <c r="G466" s="180"/>
      <c r="H466" s="180"/>
      <c r="I466" s="180"/>
      <c r="J466" s="180">
        <v>15</v>
      </c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>
        <v>10</v>
      </c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72">
        <f t="shared" si="11"/>
        <v>25</v>
      </c>
      <c r="AH466" s="173">
        <f>D466-AG466</f>
        <v>25</v>
      </c>
    </row>
    <row r="467" spans="1:34" ht="36" hidden="1" x14ac:dyDescent="0.55000000000000004">
      <c r="A467" s="127">
        <v>488</v>
      </c>
      <c r="B467" s="118" t="s">
        <v>1021</v>
      </c>
      <c r="C467" s="72" t="e" cm="1">
        <f t="array" ref="C467">[1]Sheet2!E581/1-BLUE</f>
        <v>#NAME?</v>
      </c>
      <c r="D467" s="73">
        <v>64</v>
      </c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>
        <v>10</v>
      </c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72">
        <f t="shared" si="11"/>
        <v>10</v>
      </c>
      <c r="AH467" s="173">
        <f>D467-AG467</f>
        <v>54</v>
      </c>
    </row>
    <row r="468" spans="1:34" ht="36" hidden="1" x14ac:dyDescent="0.55000000000000004">
      <c r="A468" s="127">
        <v>489</v>
      </c>
      <c r="B468" s="118" t="s">
        <v>1022</v>
      </c>
      <c r="C468" s="72" t="s">
        <v>1086</v>
      </c>
      <c r="D468" s="72">
        <f>60+24</f>
        <v>84</v>
      </c>
      <c r="E468" s="180"/>
      <c r="F468" s="182"/>
      <c r="G468" s="182"/>
      <c r="H468" s="182"/>
      <c r="I468" s="182"/>
      <c r="J468" s="182">
        <f>5+5+5</f>
        <v>15</v>
      </c>
      <c r="K468" s="180"/>
      <c r="L468" s="180">
        <v>1</v>
      </c>
      <c r="M468" s="180">
        <f>5+5</f>
        <v>10</v>
      </c>
      <c r="N468" s="181">
        <f>3+10+10</f>
        <v>23</v>
      </c>
      <c r="O468" s="180"/>
      <c r="P468" s="180"/>
      <c r="Q468" s="180"/>
      <c r="R468" s="180">
        <f>6+5</f>
        <v>11</v>
      </c>
      <c r="S468" s="180"/>
      <c r="T468" s="180"/>
      <c r="U468" s="180"/>
      <c r="V468" s="180"/>
      <c r="W468" s="180">
        <f>10+5+3</f>
        <v>18</v>
      </c>
      <c r="X468" s="180">
        <v>5</v>
      </c>
      <c r="Y468" s="180"/>
      <c r="Z468" s="180"/>
      <c r="AA468" s="180"/>
      <c r="AB468" s="180"/>
      <c r="AC468" s="180"/>
      <c r="AD468" s="180">
        <v>1</v>
      </c>
      <c r="AE468" s="180"/>
      <c r="AF468" s="180"/>
      <c r="AG468" s="172">
        <f t="shared" si="11"/>
        <v>84</v>
      </c>
      <c r="AH468" s="173">
        <f>D468-AG468</f>
        <v>0</v>
      </c>
    </row>
    <row r="469" spans="1:34" ht="36" hidden="1" x14ac:dyDescent="0.55000000000000004">
      <c r="A469" s="127">
        <v>490</v>
      </c>
      <c r="B469" s="119" t="s">
        <v>1023</v>
      </c>
      <c r="C469" s="75" t="s">
        <v>1024</v>
      </c>
      <c r="D469" s="75">
        <v>15</v>
      </c>
      <c r="E469" s="182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72">
        <f t="shared" si="11"/>
        <v>0</v>
      </c>
      <c r="AH469" s="173">
        <f>D469-AG469</f>
        <v>15</v>
      </c>
    </row>
    <row r="470" spans="1:34" ht="36" hidden="1" x14ac:dyDescent="0.55000000000000004">
      <c r="A470" s="127">
        <v>491</v>
      </c>
      <c r="B470" s="119" t="s">
        <v>1025</v>
      </c>
      <c r="C470" s="75" t="s">
        <v>1026</v>
      </c>
      <c r="D470" s="75">
        <v>10</v>
      </c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72">
        <f t="shared" si="11"/>
        <v>0</v>
      </c>
      <c r="AH470" s="173">
        <f>D470-AG470</f>
        <v>10</v>
      </c>
    </row>
    <row r="471" spans="1:34" ht="36" hidden="1" x14ac:dyDescent="0.55000000000000004">
      <c r="A471" s="127">
        <v>492</v>
      </c>
      <c r="B471" s="119" t="s">
        <v>1027</v>
      </c>
      <c r="C471" s="75" t="s">
        <v>1028</v>
      </c>
      <c r="D471" s="75">
        <v>10</v>
      </c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72">
        <f t="shared" si="11"/>
        <v>0</v>
      </c>
      <c r="AH471" s="173">
        <f>D471-AG471</f>
        <v>10</v>
      </c>
    </row>
    <row r="472" spans="1:34" ht="36" hidden="1" x14ac:dyDescent="0.55000000000000004">
      <c r="A472" s="127">
        <v>493</v>
      </c>
      <c r="B472" s="118" t="s">
        <v>1031</v>
      </c>
      <c r="C472" s="72" t="s">
        <v>1032</v>
      </c>
      <c r="D472" s="72">
        <v>4</v>
      </c>
      <c r="E472" s="180"/>
      <c r="F472" s="180"/>
      <c r="G472" s="180"/>
      <c r="H472" s="180"/>
      <c r="I472" s="180"/>
      <c r="J472" s="180">
        <v>1</v>
      </c>
      <c r="K472" s="180"/>
      <c r="L472" s="180"/>
      <c r="M472" s="180"/>
      <c r="N472" s="180">
        <v>2</v>
      </c>
      <c r="O472" s="180"/>
      <c r="P472" s="180"/>
      <c r="Q472" s="180"/>
      <c r="R472" s="180">
        <v>1</v>
      </c>
      <c r="S472" s="180"/>
      <c r="T472" s="180"/>
      <c r="U472" s="180"/>
      <c r="V472" s="180"/>
      <c r="W472" s="180"/>
      <c r="X472" s="180">
        <v>1</v>
      </c>
      <c r="Y472" s="180"/>
      <c r="Z472" s="180"/>
      <c r="AA472" s="180"/>
      <c r="AB472" s="180"/>
      <c r="AC472" s="180"/>
      <c r="AD472" s="180"/>
      <c r="AE472" s="180"/>
      <c r="AF472" s="180"/>
      <c r="AG472" s="172">
        <f t="shared" si="11"/>
        <v>5</v>
      </c>
      <c r="AH472" s="173">
        <f>D472-AG472</f>
        <v>-1</v>
      </c>
    </row>
    <row r="473" spans="1:34" ht="36" hidden="1" x14ac:dyDescent="0.55000000000000004">
      <c r="A473" s="127">
        <v>494</v>
      </c>
      <c r="B473" s="118" t="s">
        <v>1033</v>
      </c>
      <c r="C473" s="72" t="s">
        <v>1034</v>
      </c>
      <c r="D473" s="85">
        <v>2</v>
      </c>
      <c r="E473" s="180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  <c r="AF473" s="171"/>
      <c r="AG473" s="172">
        <f t="shared" ref="AG473:AG474" si="12">SUM(F473:AB473)</f>
        <v>0</v>
      </c>
      <c r="AH473" s="173">
        <f>D473-AG473</f>
        <v>2</v>
      </c>
    </row>
    <row r="474" spans="1:34" ht="36" hidden="1" x14ac:dyDescent="0.55000000000000004">
      <c r="A474" s="127">
        <v>495</v>
      </c>
      <c r="B474" s="118" t="s">
        <v>1035</v>
      </c>
      <c r="C474" s="72" t="s">
        <v>1036</v>
      </c>
      <c r="D474" s="85">
        <v>2</v>
      </c>
      <c r="E474" s="171"/>
      <c r="F474" s="180"/>
      <c r="G474" s="180"/>
      <c r="H474" s="180"/>
      <c r="I474" s="180"/>
      <c r="J474" s="180"/>
      <c r="K474" s="180"/>
      <c r="L474" s="180"/>
      <c r="M474" s="180"/>
      <c r="N474" s="180">
        <v>1</v>
      </c>
      <c r="O474" s="180"/>
      <c r="P474" s="180"/>
      <c r="Q474" s="180"/>
      <c r="R474" s="180"/>
      <c r="S474" s="180"/>
      <c r="T474" s="180"/>
      <c r="U474" s="180"/>
      <c r="V474" s="180"/>
      <c r="W474" s="180"/>
      <c r="X474" s="180">
        <v>1</v>
      </c>
      <c r="Y474" s="180"/>
      <c r="Z474" s="180"/>
      <c r="AA474" s="180"/>
      <c r="AB474" s="180"/>
      <c r="AC474" s="180"/>
      <c r="AD474" s="180"/>
      <c r="AE474" s="180"/>
      <c r="AF474" s="180"/>
      <c r="AG474" s="172">
        <f t="shared" si="12"/>
        <v>2</v>
      </c>
      <c r="AH474" s="173">
        <f>D474-AG474</f>
        <v>0</v>
      </c>
    </row>
    <row r="475" spans="1:34" ht="36" x14ac:dyDescent="0.55000000000000004">
      <c r="A475" s="127">
        <v>496</v>
      </c>
      <c r="B475" s="120" t="s">
        <v>1037</v>
      </c>
      <c r="C475" s="77" t="s">
        <v>1038</v>
      </c>
      <c r="D475" s="77">
        <v>6</v>
      </c>
      <c r="E475" s="180"/>
      <c r="F475" s="183"/>
      <c r="G475" s="183"/>
      <c r="H475" s="183"/>
      <c r="I475" s="183">
        <v>4</v>
      </c>
      <c r="J475" s="183"/>
      <c r="K475" s="183"/>
      <c r="L475" s="183"/>
      <c r="M475" s="183"/>
      <c r="N475" s="183">
        <v>2</v>
      </c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  <c r="AB475" s="183"/>
      <c r="AC475" s="183"/>
      <c r="AD475" s="183"/>
      <c r="AE475" s="183"/>
      <c r="AF475" s="183"/>
      <c r="AG475" s="172">
        <f>SUM(F475:AF475)</f>
        <v>6</v>
      </c>
      <c r="AH475" s="173">
        <f>D475-AG475</f>
        <v>0</v>
      </c>
    </row>
    <row r="476" spans="1:34" ht="36" hidden="1" x14ac:dyDescent="0.55000000000000004">
      <c r="A476" s="127">
        <v>497</v>
      </c>
      <c r="B476" s="120" t="s">
        <v>1039</v>
      </c>
      <c r="C476" s="77" t="s">
        <v>1040</v>
      </c>
      <c r="D476" s="77">
        <v>14</v>
      </c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>
        <v>5</v>
      </c>
      <c r="S476" s="183"/>
      <c r="T476" s="183"/>
      <c r="U476" s="183"/>
      <c r="V476" s="183"/>
      <c r="W476" s="183"/>
      <c r="X476" s="183">
        <v>5</v>
      </c>
      <c r="Y476" s="183"/>
      <c r="Z476" s="183"/>
      <c r="AA476" s="183"/>
      <c r="AB476" s="183"/>
      <c r="AC476" s="183"/>
      <c r="AD476" s="183"/>
      <c r="AE476" s="183"/>
      <c r="AF476" s="183"/>
      <c r="AG476" s="172">
        <f t="shared" ref="AG476:AG496" si="13">SUM(F476:AF476)</f>
        <v>10</v>
      </c>
      <c r="AH476" s="173">
        <f>D476-AG476</f>
        <v>4</v>
      </c>
    </row>
    <row r="477" spans="1:34" ht="36" hidden="1" x14ac:dyDescent="0.55000000000000004">
      <c r="A477" s="127">
        <v>498</v>
      </c>
      <c r="B477" s="120" t="s">
        <v>1041</v>
      </c>
      <c r="C477" s="77" t="s">
        <v>1042</v>
      </c>
      <c r="D477" s="77">
        <v>10</v>
      </c>
      <c r="E477" s="183"/>
      <c r="F477" s="183"/>
      <c r="G477" s="183"/>
      <c r="H477" s="183"/>
      <c r="I477" s="183">
        <v>2</v>
      </c>
      <c r="J477" s="183">
        <v>5</v>
      </c>
      <c r="K477" s="183"/>
      <c r="L477" s="183"/>
      <c r="M477" s="183">
        <v>3</v>
      </c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  <c r="AB477" s="183"/>
      <c r="AC477" s="183"/>
      <c r="AD477" s="183"/>
      <c r="AE477" s="183"/>
      <c r="AF477" s="183"/>
      <c r="AG477" s="172">
        <f t="shared" si="13"/>
        <v>10</v>
      </c>
      <c r="AH477" s="173">
        <f>D477-AG477</f>
        <v>0</v>
      </c>
    </row>
    <row r="478" spans="1:34" ht="36" hidden="1" x14ac:dyDescent="0.55000000000000004">
      <c r="A478" s="127">
        <v>499</v>
      </c>
      <c r="B478" s="120" t="s">
        <v>1043</v>
      </c>
      <c r="C478" s="77" t="s">
        <v>1044</v>
      </c>
      <c r="D478" s="77">
        <v>10</v>
      </c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>
        <v>4</v>
      </c>
      <c r="S478" s="183"/>
      <c r="T478" s="183"/>
      <c r="U478" s="183"/>
      <c r="V478" s="183"/>
      <c r="W478" s="183"/>
      <c r="X478" s="183">
        <v>3</v>
      </c>
      <c r="Y478" s="183"/>
      <c r="Z478" s="183"/>
      <c r="AA478" s="183"/>
      <c r="AB478" s="183"/>
      <c r="AC478" s="183"/>
      <c r="AD478" s="183"/>
      <c r="AE478" s="183"/>
      <c r="AF478" s="183"/>
      <c r="AG478" s="172">
        <f t="shared" si="13"/>
        <v>7</v>
      </c>
      <c r="AH478" s="173">
        <f>D478-AG478</f>
        <v>3</v>
      </c>
    </row>
    <row r="479" spans="1:34" ht="36" hidden="1" x14ac:dyDescent="0.55000000000000004">
      <c r="A479" s="127">
        <v>500</v>
      </c>
      <c r="B479" s="120" t="s">
        <v>1045</v>
      </c>
      <c r="C479" s="77" t="s">
        <v>1046</v>
      </c>
      <c r="D479" s="77">
        <v>50</v>
      </c>
      <c r="E479" s="183"/>
      <c r="F479" s="183"/>
      <c r="G479" s="183">
        <v>1</v>
      </c>
      <c r="H479" s="183"/>
      <c r="I479" s="183"/>
      <c r="J479" s="183">
        <v>6</v>
      </c>
      <c r="K479" s="183"/>
      <c r="L479" s="183"/>
      <c r="M479" s="183">
        <f>3+4</f>
        <v>7</v>
      </c>
      <c r="N479" s="183">
        <f>2+5+13+1</f>
        <v>21</v>
      </c>
      <c r="O479" s="183"/>
      <c r="P479" s="183"/>
      <c r="Q479" s="183"/>
      <c r="R479" s="183">
        <f>5+3</f>
        <v>8</v>
      </c>
      <c r="S479" s="183"/>
      <c r="T479" s="183"/>
      <c r="U479" s="183"/>
      <c r="V479" s="183"/>
      <c r="W479" s="183">
        <f>1+1</f>
        <v>2</v>
      </c>
      <c r="X479" s="183">
        <v>2</v>
      </c>
      <c r="Y479" s="183"/>
      <c r="Z479" s="183"/>
      <c r="AA479" s="183"/>
      <c r="AB479" s="183"/>
      <c r="AC479" s="183"/>
      <c r="AD479" s="183">
        <v>1</v>
      </c>
      <c r="AE479" s="183"/>
      <c r="AF479" s="183">
        <v>2</v>
      </c>
      <c r="AG479" s="172">
        <f t="shared" si="13"/>
        <v>50</v>
      </c>
      <c r="AH479" s="173">
        <f>D479-AG479</f>
        <v>0</v>
      </c>
    </row>
    <row r="480" spans="1:34" ht="36" hidden="1" x14ac:dyDescent="0.55000000000000004">
      <c r="A480" s="127">
        <v>501</v>
      </c>
      <c r="B480" s="120" t="s">
        <v>1047</v>
      </c>
      <c r="C480" s="77" t="s">
        <v>1077</v>
      </c>
      <c r="D480" s="77">
        <v>87</v>
      </c>
      <c r="E480" s="183"/>
      <c r="F480" s="183"/>
      <c r="G480" s="183"/>
      <c r="H480" s="183"/>
      <c r="I480" s="183"/>
      <c r="J480" s="183">
        <f>5+5</f>
        <v>10</v>
      </c>
      <c r="K480" s="183"/>
      <c r="L480" s="183">
        <f>2+5</f>
        <v>7</v>
      </c>
      <c r="M480" s="183">
        <v>5</v>
      </c>
      <c r="N480" s="183">
        <v>27</v>
      </c>
      <c r="O480" s="183"/>
      <c r="P480" s="183"/>
      <c r="Q480" s="183"/>
      <c r="R480" s="183">
        <f>5+5</f>
        <v>10</v>
      </c>
      <c r="S480" s="183"/>
      <c r="T480" s="183"/>
      <c r="U480" s="183"/>
      <c r="V480" s="183"/>
      <c r="W480" s="183">
        <v>8</v>
      </c>
      <c r="X480" s="183">
        <f>5+10</f>
        <v>15</v>
      </c>
      <c r="Y480" s="183"/>
      <c r="Z480" s="183"/>
      <c r="AA480" s="183"/>
      <c r="AB480" s="183"/>
      <c r="AC480" s="183"/>
      <c r="AD480" s="183">
        <v>2</v>
      </c>
      <c r="AE480" s="183"/>
      <c r="AF480" s="183">
        <f>1+1</f>
        <v>2</v>
      </c>
      <c r="AG480" s="172">
        <f t="shared" si="13"/>
        <v>86</v>
      </c>
      <c r="AH480" s="173">
        <f>D480-AG480</f>
        <v>1</v>
      </c>
    </row>
    <row r="481" spans="1:34" ht="36" hidden="1" x14ac:dyDescent="0.55000000000000004">
      <c r="A481" s="127">
        <v>502</v>
      </c>
      <c r="B481" s="120" t="s">
        <v>1048</v>
      </c>
      <c r="C481" s="77" t="s">
        <v>1049</v>
      </c>
      <c r="D481" s="77">
        <v>39</v>
      </c>
      <c r="E481" s="183"/>
      <c r="F481" s="183"/>
      <c r="G481" s="183"/>
      <c r="H481" s="183"/>
      <c r="I481" s="183"/>
      <c r="J481" s="183"/>
      <c r="K481" s="183"/>
      <c r="L481" s="183">
        <v>2</v>
      </c>
      <c r="M481" s="183">
        <v>1</v>
      </c>
      <c r="N481" s="183">
        <f>8+2+5</f>
        <v>15</v>
      </c>
      <c r="O481" s="183"/>
      <c r="P481" s="183"/>
      <c r="Q481" s="183"/>
      <c r="R481" s="183">
        <v>9</v>
      </c>
      <c r="S481" s="183"/>
      <c r="T481" s="183"/>
      <c r="U481" s="183"/>
      <c r="V481" s="183"/>
      <c r="W481" s="183">
        <v>3</v>
      </c>
      <c r="X481" s="184">
        <f>5+5</f>
        <v>10</v>
      </c>
      <c r="Y481" s="183"/>
      <c r="Z481" s="183"/>
      <c r="AA481" s="183"/>
      <c r="AB481" s="183"/>
      <c r="AC481" s="183"/>
      <c r="AD481" s="183">
        <v>1</v>
      </c>
      <c r="AE481" s="183"/>
      <c r="AF481" s="183"/>
      <c r="AG481" s="172">
        <f t="shared" si="13"/>
        <v>41</v>
      </c>
      <c r="AH481" s="173">
        <f>D481-AG481</f>
        <v>-2</v>
      </c>
    </row>
    <row r="482" spans="1:34" ht="36" hidden="1" x14ac:dyDescent="0.55000000000000004">
      <c r="A482" s="127">
        <v>503</v>
      </c>
      <c r="B482" s="120" t="s">
        <v>1050</v>
      </c>
      <c r="C482" s="77" t="s">
        <v>1051</v>
      </c>
      <c r="D482" s="77">
        <v>192</v>
      </c>
      <c r="E482" s="183">
        <v>6</v>
      </c>
      <c r="F482" s="183">
        <v>12</v>
      </c>
      <c r="G482" s="183">
        <v>12</v>
      </c>
      <c r="H482" s="183"/>
      <c r="I482" s="183"/>
      <c r="J482" s="183">
        <v>18</v>
      </c>
      <c r="K482" s="183"/>
      <c r="L482" s="183"/>
      <c r="M482" s="183">
        <v>12</v>
      </c>
      <c r="N482" s="183">
        <v>12</v>
      </c>
      <c r="O482" s="183"/>
      <c r="P482" s="183"/>
      <c r="Q482" s="183"/>
      <c r="R482" s="183">
        <v>18</v>
      </c>
      <c r="S482" s="183">
        <v>6</v>
      </c>
      <c r="T482" s="183"/>
      <c r="U482" s="183"/>
      <c r="V482" s="183"/>
      <c r="W482" s="183">
        <v>18</v>
      </c>
      <c r="X482" s="183"/>
      <c r="Y482" s="183"/>
      <c r="Z482" s="183"/>
      <c r="AA482" s="183"/>
      <c r="AB482" s="183"/>
      <c r="AC482" s="183"/>
      <c r="AD482" s="183"/>
      <c r="AE482" s="183"/>
      <c r="AF482" s="183"/>
      <c r="AG482" s="172">
        <f t="shared" si="13"/>
        <v>108</v>
      </c>
      <c r="AH482" s="173">
        <f>D482-AG482</f>
        <v>84</v>
      </c>
    </row>
    <row r="483" spans="1:34" ht="36" hidden="1" x14ac:dyDescent="0.55000000000000004">
      <c r="A483" s="127">
        <v>504</v>
      </c>
      <c r="B483" s="120" t="s">
        <v>1052</v>
      </c>
      <c r="C483" s="77" t="s">
        <v>1375</v>
      </c>
      <c r="D483" s="77">
        <v>66</v>
      </c>
      <c r="E483" s="183"/>
      <c r="F483" s="183"/>
      <c r="G483" s="183">
        <f>12+6</f>
        <v>18</v>
      </c>
      <c r="H483" s="183"/>
      <c r="I483" s="183"/>
      <c r="J483" s="183">
        <v>12</v>
      </c>
      <c r="K483" s="183"/>
      <c r="L483" s="183"/>
      <c r="M483" s="183">
        <v>20</v>
      </c>
      <c r="N483" s="183"/>
      <c r="O483" s="183"/>
      <c r="P483" s="183"/>
      <c r="Q483" s="183"/>
      <c r="R483" s="183"/>
      <c r="S483" s="183">
        <v>6</v>
      </c>
      <c r="T483" s="183"/>
      <c r="U483" s="183"/>
      <c r="V483" s="183"/>
      <c r="W483" s="183"/>
      <c r="X483" s="183"/>
      <c r="Y483" s="183"/>
      <c r="Z483" s="183"/>
      <c r="AA483" s="183"/>
      <c r="AB483" s="183"/>
      <c r="AC483" s="183"/>
      <c r="AD483" s="183"/>
      <c r="AE483" s="183"/>
      <c r="AF483" s="183"/>
      <c r="AG483" s="172">
        <f t="shared" si="13"/>
        <v>56</v>
      </c>
      <c r="AH483" s="173">
        <f>D483-AG483</f>
        <v>10</v>
      </c>
    </row>
    <row r="484" spans="1:34" ht="36" hidden="1" x14ac:dyDescent="0.55000000000000004">
      <c r="A484" s="127">
        <v>505</v>
      </c>
      <c r="B484" s="120" t="s">
        <v>1053</v>
      </c>
      <c r="C484" s="77" t="s">
        <v>1376</v>
      </c>
      <c r="D484" s="77">
        <v>110</v>
      </c>
      <c r="E484" s="183"/>
      <c r="F484" s="183"/>
      <c r="G484" s="183">
        <v>1</v>
      </c>
      <c r="H484" s="183"/>
      <c r="I484" s="183"/>
      <c r="J484" s="183">
        <f>44+12</f>
        <v>56</v>
      </c>
      <c r="K484" s="183"/>
      <c r="L484" s="183"/>
      <c r="M484" s="183">
        <f>20+22</f>
        <v>42</v>
      </c>
      <c r="N484" s="183">
        <v>12</v>
      </c>
      <c r="O484" s="183"/>
      <c r="P484" s="183"/>
      <c r="Q484" s="183"/>
      <c r="R484" s="183"/>
      <c r="S484" s="183">
        <v>6</v>
      </c>
      <c r="T484" s="183"/>
      <c r="U484" s="183"/>
      <c r="V484" s="183"/>
      <c r="W484" s="183"/>
      <c r="X484" s="183"/>
      <c r="Y484" s="183"/>
      <c r="Z484" s="183"/>
      <c r="AA484" s="183"/>
      <c r="AB484" s="183"/>
      <c r="AC484" s="183"/>
      <c r="AD484" s="183"/>
      <c r="AE484" s="183"/>
      <c r="AF484" s="183"/>
      <c r="AG484" s="172">
        <f t="shared" si="13"/>
        <v>117</v>
      </c>
      <c r="AH484" s="173">
        <f>D484-AG484</f>
        <v>-7</v>
      </c>
    </row>
    <row r="485" spans="1:34" ht="36" hidden="1" x14ac:dyDescent="0.55000000000000004">
      <c r="A485" s="127">
        <v>506</v>
      </c>
      <c r="B485" s="120" t="s">
        <v>1054</v>
      </c>
      <c r="C485" s="77" t="s">
        <v>1377</v>
      </c>
      <c r="D485" s="77">
        <v>110</v>
      </c>
      <c r="E485" s="183"/>
      <c r="F485" s="183"/>
      <c r="G485" s="183">
        <f>22+11</f>
        <v>33</v>
      </c>
      <c r="H485" s="183"/>
      <c r="I485" s="183"/>
      <c r="J485" s="183">
        <v>12</v>
      </c>
      <c r="K485" s="183"/>
      <c r="L485" s="183"/>
      <c r="M485" s="183">
        <v>20</v>
      </c>
      <c r="N485" s="183">
        <v>12</v>
      </c>
      <c r="O485" s="183"/>
      <c r="P485" s="183"/>
      <c r="Q485" s="183"/>
      <c r="R485" s="183"/>
      <c r="S485" s="183"/>
      <c r="T485" s="183"/>
      <c r="U485" s="183"/>
      <c r="V485" s="183"/>
      <c r="W485" s="183">
        <v>22</v>
      </c>
      <c r="X485" s="183">
        <v>22</v>
      </c>
      <c r="Y485" s="183"/>
      <c r="Z485" s="183"/>
      <c r="AA485" s="183"/>
      <c r="AB485" s="183"/>
      <c r="AC485" s="183"/>
      <c r="AD485" s="183"/>
      <c r="AE485" s="183"/>
      <c r="AF485" s="183"/>
      <c r="AG485" s="172">
        <f t="shared" si="13"/>
        <v>121</v>
      </c>
      <c r="AH485" s="173">
        <f>D485-AG485</f>
        <v>-11</v>
      </c>
    </row>
    <row r="486" spans="1:34" ht="36" hidden="1" x14ac:dyDescent="0.55000000000000004">
      <c r="A486" s="127">
        <v>507</v>
      </c>
      <c r="B486" s="105" t="s">
        <v>1055</v>
      </c>
      <c r="C486" s="56" t="s">
        <v>1172</v>
      </c>
      <c r="D486" s="56">
        <v>41</v>
      </c>
      <c r="E486" s="183">
        <v>1</v>
      </c>
      <c r="F486" s="183">
        <v>5</v>
      </c>
      <c r="G486" s="183"/>
      <c r="H486" s="183"/>
      <c r="I486" s="183"/>
      <c r="J486" s="183"/>
      <c r="K486" s="183"/>
      <c r="L486" s="183"/>
      <c r="M486" s="183">
        <v>4</v>
      </c>
      <c r="N486" s="183">
        <v>4</v>
      </c>
      <c r="O486" s="183"/>
      <c r="P486" s="183"/>
      <c r="Q486" s="183"/>
      <c r="R486" s="183">
        <v>6</v>
      </c>
      <c r="S486" s="183"/>
      <c r="T486" s="183"/>
      <c r="U486" s="183"/>
      <c r="V486" s="183"/>
      <c r="W486" s="183">
        <v>10</v>
      </c>
      <c r="X486" s="183">
        <v>10</v>
      </c>
      <c r="Y486" s="183"/>
      <c r="Z486" s="183"/>
      <c r="AA486" s="183"/>
      <c r="AB486" s="183"/>
      <c r="AC486" s="183"/>
      <c r="AD486" s="183"/>
      <c r="AE486" s="183"/>
      <c r="AF486" s="183">
        <v>1</v>
      </c>
      <c r="AG486" s="172">
        <f t="shared" si="13"/>
        <v>40</v>
      </c>
      <c r="AH486" s="173">
        <f>D486-AG486</f>
        <v>1</v>
      </c>
    </row>
    <row r="487" spans="1:34" ht="36" hidden="1" x14ac:dyDescent="0.55000000000000004">
      <c r="A487" s="127">
        <v>508</v>
      </c>
      <c r="B487" s="105" t="s">
        <v>1056</v>
      </c>
      <c r="C487" s="56" t="s">
        <v>1057</v>
      </c>
      <c r="D487" s="56">
        <v>32</v>
      </c>
      <c r="E487" s="183"/>
      <c r="F487" s="183"/>
      <c r="G487" s="183"/>
      <c r="H487" s="183"/>
      <c r="I487" s="183"/>
      <c r="J487" s="183">
        <v>12</v>
      </c>
      <c r="K487" s="183"/>
      <c r="L487" s="183"/>
      <c r="M487" s="183"/>
      <c r="N487" s="183"/>
      <c r="O487" s="183"/>
      <c r="P487" s="183"/>
      <c r="Q487" s="183"/>
      <c r="R487" s="183">
        <v>15</v>
      </c>
      <c r="S487" s="183"/>
      <c r="T487" s="183"/>
      <c r="U487" s="183"/>
      <c r="V487" s="183"/>
      <c r="W487" s="183"/>
      <c r="X487" s="183"/>
      <c r="Y487" s="183"/>
      <c r="Z487" s="183"/>
      <c r="AA487" s="183"/>
      <c r="AB487" s="183"/>
      <c r="AC487" s="183"/>
      <c r="AD487" s="183"/>
      <c r="AE487" s="183"/>
      <c r="AF487" s="183"/>
      <c r="AG487" s="172">
        <f t="shared" si="13"/>
        <v>27</v>
      </c>
      <c r="AH487" s="173">
        <f>D487-AG487</f>
        <v>5</v>
      </c>
    </row>
    <row r="488" spans="1:34" ht="36" hidden="1" x14ac:dyDescent="0.55000000000000004">
      <c r="A488" s="127">
        <v>509</v>
      </c>
      <c r="B488" s="121" t="s">
        <v>1058</v>
      </c>
      <c r="C488" s="74" t="s">
        <v>1059</v>
      </c>
      <c r="D488" s="74">
        <v>12</v>
      </c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>
        <v>6</v>
      </c>
      <c r="Y488" s="183"/>
      <c r="Z488" s="183"/>
      <c r="AA488" s="183"/>
      <c r="AB488" s="183"/>
      <c r="AC488" s="183"/>
      <c r="AD488" s="183"/>
      <c r="AE488" s="183"/>
      <c r="AF488" s="183"/>
      <c r="AG488" s="172">
        <f t="shared" si="13"/>
        <v>6</v>
      </c>
      <c r="AH488" s="173">
        <f>D488-AG488</f>
        <v>6</v>
      </c>
    </row>
    <row r="489" spans="1:34" ht="36" hidden="1" x14ac:dyDescent="0.55000000000000004">
      <c r="A489" s="127">
        <v>510</v>
      </c>
      <c r="B489" s="121" t="s">
        <v>1060</v>
      </c>
      <c r="C489" s="74" t="s">
        <v>1061</v>
      </c>
      <c r="D489" s="74">
        <v>48</v>
      </c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>
        <v>12</v>
      </c>
      <c r="T489" s="183"/>
      <c r="U489" s="183"/>
      <c r="V489" s="183"/>
      <c r="W489" s="183"/>
      <c r="X489" s="183"/>
      <c r="Y489" s="183"/>
      <c r="Z489" s="183"/>
      <c r="AA489" s="183"/>
      <c r="AB489" s="183"/>
      <c r="AC489" s="183"/>
      <c r="AD489" s="183">
        <v>1</v>
      </c>
      <c r="AE489" s="183"/>
      <c r="AF489" s="183"/>
      <c r="AG489" s="172">
        <f t="shared" si="13"/>
        <v>13</v>
      </c>
      <c r="AH489" s="173">
        <f>D489-AG489</f>
        <v>35</v>
      </c>
    </row>
    <row r="490" spans="1:34" ht="36" hidden="1" x14ac:dyDescent="0.55000000000000004">
      <c r="A490" s="127">
        <v>511</v>
      </c>
      <c r="B490" s="121" t="s">
        <v>1062</v>
      </c>
      <c r="C490" s="74" t="s">
        <v>1063</v>
      </c>
      <c r="D490" s="74">
        <v>12</v>
      </c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  <c r="AB490" s="183"/>
      <c r="AC490" s="183"/>
      <c r="AD490" s="183"/>
      <c r="AE490" s="183"/>
      <c r="AF490" s="183"/>
      <c r="AG490" s="172">
        <f t="shared" si="13"/>
        <v>0</v>
      </c>
      <c r="AH490" s="173">
        <f>D490-AG490</f>
        <v>12</v>
      </c>
    </row>
    <row r="491" spans="1:34" ht="36" hidden="1" x14ac:dyDescent="0.55000000000000004">
      <c r="A491" s="127">
        <v>512</v>
      </c>
      <c r="B491" s="122" t="s">
        <v>1064</v>
      </c>
      <c r="C491" s="76" t="s">
        <v>1065</v>
      </c>
      <c r="D491" s="76">
        <v>5</v>
      </c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>
        <v>2</v>
      </c>
      <c r="Y491" s="183"/>
      <c r="Z491" s="183"/>
      <c r="AA491" s="183"/>
      <c r="AB491" s="183"/>
      <c r="AC491" s="183"/>
      <c r="AD491" s="183"/>
      <c r="AE491" s="183"/>
      <c r="AF491" s="183"/>
      <c r="AG491" s="172">
        <f t="shared" si="13"/>
        <v>2</v>
      </c>
      <c r="AH491" s="173">
        <f>D491-AG491</f>
        <v>3</v>
      </c>
    </row>
    <row r="492" spans="1:34" ht="36" hidden="1" x14ac:dyDescent="0.55000000000000004">
      <c r="A492" s="127">
        <v>513</v>
      </c>
      <c r="B492" s="121" t="s">
        <v>1066</v>
      </c>
      <c r="C492" s="74" t="s">
        <v>1067</v>
      </c>
      <c r="D492" s="74">
        <v>20</v>
      </c>
      <c r="E492" s="183"/>
      <c r="F492" s="183"/>
      <c r="G492" s="183"/>
      <c r="H492" s="183"/>
      <c r="I492" s="183"/>
      <c r="J492" s="183">
        <v>5</v>
      </c>
      <c r="K492" s="183"/>
      <c r="L492" s="183"/>
      <c r="M492" s="183"/>
      <c r="N492" s="183">
        <v>5</v>
      </c>
      <c r="O492" s="183"/>
      <c r="P492" s="183"/>
      <c r="Q492" s="183"/>
      <c r="R492" s="183"/>
      <c r="S492" s="183"/>
      <c r="T492" s="183"/>
      <c r="U492" s="183"/>
      <c r="V492" s="183"/>
      <c r="W492" s="183"/>
      <c r="X492" s="183">
        <v>5</v>
      </c>
      <c r="Y492" s="183"/>
      <c r="Z492" s="183"/>
      <c r="AA492" s="183"/>
      <c r="AB492" s="183"/>
      <c r="AC492" s="183"/>
      <c r="AD492" s="183"/>
      <c r="AE492" s="183"/>
      <c r="AF492" s="183"/>
      <c r="AG492" s="172">
        <f t="shared" si="13"/>
        <v>15</v>
      </c>
      <c r="AH492" s="173">
        <f>D492-AG492</f>
        <v>5</v>
      </c>
    </row>
    <row r="493" spans="1:34" ht="36" hidden="1" x14ac:dyDescent="0.55000000000000004">
      <c r="A493" s="127">
        <v>514</v>
      </c>
      <c r="B493" s="121" t="s">
        <v>1068</v>
      </c>
      <c r="C493" s="74" t="s">
        <v>1069</v>
      </c>
      <c r="D493" s="74">
        <v>2</v>
      </c>
      <c r="E493" s="183"/>
      <c r="F493" s="183"/>
      <c r="G493" s="183"/>
      <c r="H493" s="183"/>
      <c r="I493" s="183"/>
      <c r="J493" s="183"/>
      <c r="K493" s="183"/>
      <c r="L493" s="183"/>
      <c r="M493" s="183"/>
      <c r="N493" s="183">
        <v>1</v>
      </c>
      <c r="O493" s="183"/>
      <c r="P493" s="183"/>
      <c r="Q493" s="183"/>
      <c r="R493" s="183">
        <v>1</v>
      </c>
      <c r="S493" s="183"/>
      <c r="T493" s="183"/>
      <c r="U493" s="183"/>
      <c r="V493" s="183"/>
      <c r="W493" s="183"/>
      <c r="X493" s="183"/>
      <c r="Y493" s="183"/>
      <c r="Z493" s="183"/>
      <c r="AA493" s="183"/>
      <c r="AB493" s="183"/>
      <c r="AC493" s="183"/>
      <c r="AD493" s="183"/>
      <c r="AE493" s="183"/>
      <c r="AF493" s="183"/>
      <c r="AG493" s="172">
        <f t="shared" si="13"/>
        <v>2</v>
      </c>
      <c r="AH493" s="173">
        <f>D493-AG493</f>
        <v>0</v>
      </c>
    </row>
    <row r="494" spans="1:34" ht="36" hidden="1" x14ac:dyDescent="0.55000000000000004">
      <c r="A494" s="127">
        <v>515</v>
      </c>
      <c r="B494" s="121" t="s">
        <v>1070</v>
      </c>
      <c r="C494" s="74" t="s">
        <v>1071</v>
      </c>
      <c r="D494" s="74">
        <v>2</v>
      </c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>
        <v>2</v>
      </c>
      <c r="Y494" s="183"/>
      <c r="Z494" s="183"/>
      <c r="AA494" s="183"/>
      <c r="AB494" s="183"/>
      <c r="AC494" s="183"/>
      <c r="AD494" s="183"/>
      <c r="AE494" s="183"/>
      <c r="AF494" s="183"/>
      <c r="AG494" s="172">
        <f t="shared" si="13"/>
        <v>2</v>
      </c>
      <c r="AH494" s="173">
        <f>D494-AG494</f>
        <v>0</v>
      </c>
    </row>
    <row r="495" spans="1:34" ht="36" hidden="1" x14ac:dyDescent="0.55000000000000004">
      <c r="A495" s="127">
        <v>516</v>
      </c>
      <c r="B495" s="121" t="s">
        <v>1072</v>
      </c>
      <c r="C495" s="74" t="s">
        <v>1073</v>
      </c>
      <c r="D495" s="74">
        <v>1</v>
      </c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  <c r="AB495" s="183"/>
      <c r="AC495" s="183"/>
      <c r="AD495" s="183"/>
      <c r="AE495" s="183"/>
      <c r="AF495" s="183"/>
      <c r="AG495" s="172">
        <f t="shared" si="13"/>
        <v>0</v>
      </c>
      <c r="AH495" s="173">
        <f>D495-AG495</f>
        <v>1</v>
      </c>
    </row>
    <row r="496" spans="1:34" ht="36" hidden="1" x14ac:dyDescent="0.55000000000000004">
      <c r="A496" s="127">
        <v>517</v>
      </c>
      <c r="B496" s="121" t="s">
        <v>1074</v>
      </c>
      <c r="C496" s="74" t="s">
        <v>1075</v>
      </c>
      <c r="D496" s="86">
        <v>2</v>
      </c>
      <c r="E496" s="183"/>
      <c r="F496" s="183"/>
      <c r="G496" s="183"/>
      <c r="H496" s="183"/>
      <c r="I496" s="183"/>
      <c r="J496" s="183"/>
      <c r="K496" s="183"/>
      <c r="L496" s="183"/>
      <c r="M496" s="183">
        <v>1</v>
      </c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  <c r="AB496" s="183"/>
      <c r="AC496" s="183"/>
      <c r="AD496" s="183"/>
      <c r="AE496" s="183"/>
      <c r="AF496" s="183"/>
      <c r="AG496" s="172">
        <f t="shared" si="13"/>
        <v>1</v>
      </c>
      <c r="AH496" s="173">
        <f>D496-AG496</f>
        <v>1</v>
      </c>
    </row>
    <row r="497" spans="1:34" ht="36" hidden="1" x14ac:dyDescent="0.55000000000000004">
      <c r="A497" s="127">
        <v>518</v>
      </c>
      <c r="B497" s="123" t="s">
        <v>1078</v>
      </c>
      <c r="C497" s="84" t="s">
        <v>1135</v>
      </c>
      <c r="D497" s="84">
        <v>8</v>
      </c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>
        <v>1</v>
      </c>
      <c r="X497" s="183">
        <v>1</v>
      </c>
      <c r="Y497" s="183"/>
      <c r="Z497" s="183"/>
      <c r="AA497" s="183"/>
      <c r="AB497" s="183"/>
      <c r="AC497" s="183"/>
      <c r="AD497" s="183"/>
      <c r="AE497" s="183"/>
      <c r="AF497" s="183"/>
      <c r="AG497" s="172">
        <f>SUM(F497:AF497)</f>
        <v>2</v>
      </c>
      <c r="AH497" s="173">
        <f>D497-AG497</f>
        <v>6</v>
      </c>
    </row>
    <row r="498" spans="1:34" ht="36" hidden="1" x14ac:dyDescent="0.55000000000000004">
      <c r="A498" s="127">
        <v>519</v>
      </c>
      <c r="B498" s="123" t="s">
        <v>1079</v>
      </c>
      <c r="C498" s="84" t="s">
        <v>1080</v>
      </c>
      <c r="D498" s="84">
        <v>2</v>
      </c>
      <c r="E498" s="183"/>
      <c r="F498" s="183"/>
      <c r="G498" s="183"/>
      <c r="H498" s="183"/>
      <c r="I498" s="183"/>
      <c r="J498" s="183"/>
      <c r="K498" s="183"/>
      <c r="L498" s="183"/>
      <c r="M498" s="183"/>
      <c r="N498" s="183">
        <v>2</v>
      </c>
      <c r="O498" s="183"/>
      <c r="P498" s="183"/>
      <c r="Q498" s="183"/>
      <c r="R498" s="183">
        <v>1</v>
      </c>
      <c r="S498" s="183"/>
      <c r="T498" s="183"/>
      <c r="U498" s="183"/>
      <c r="V498" s="183"/>
      <c r="W498" s="183"/>
      <c r="X498" s="183"/>
      <c r="Y498" s="183"/>
      <c r="Z498" s="183"/>
      <c r="AA498" s="183"/>
      <c r="AB498" s="183"/>
      <c r="AC498" s="183"/>
      <c r="AD498" s="183"/>
      <c r="AE498" s="183"/>
      <c r="AF498" s="183"/>
      <c r="AG498" s="172">
        <f t="shared" ref="AG498:AG500" si="14">SUM(F498:AF498)</f>
        <v>3</v>
      </c>
      <c r="AH498" s="173">
        <f>D498-AG498</f>
        <v>-1</v>
      </c>
    </row>
    <row r="499" spans="1:34" ht="36" hidden="1" x14ac:dyDescent="0.55000000000000004">
      <c r="A499" s="127">
        <v>520</v>
      </c>
      <c r="B499" s="123" t="s">
        <v>1081</v>
      </c>
      <c r="C499" s="84" t="s">
        <v>1082</v>
      </c>
      <c r="D499" s="84">
        <v>2</v>
      </c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>
        <v>1</v>
      </c>
      <c r="S499" s="183"/>
      <c r="T499" s="183"/>
      <c r="U499" s="183"/>
      <c r="V499" s="183"/>
      <c r="W499" s="183"/>
      <c r="X499" s="183"/>
      <c r="Y499" s="183"/>
      <c r="Z499" s="183"/>
      <c r="AA499" s="183"/>
      <c r="AB499" s="183"/>
      <c r="AC499" s="183"/>
      <c r="AD499" s="183"/>
      <c r="AE499" s="183"/>
      <c r="AF499" s="183"/>
      <c r="AG499" s="172">
        <f t="shared" si="14"/>
        <v>1</v>
      </c>
      <c r="AH499" s="173">
        <f>D499-AG499</f>
        <v>1</v>
      </c>
    </row>
    <row r="500" spans="1:34" ht="25.5" hidden="1" customHeight="1" x14ac:dyDescent="0.55000000000000004">
      <c r="A500" s="127">
        <v>521</v>
      </c>
      <c r="B500" s="123" t="s">
        <v>1083</v>
      </c>
      <c r="C500" s="84" t="s">
        <v>1084</v>
      </c>
      <c r="D500" s="84">
        <v>2</v>
      </c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  <c r="AB500" s="183"/>
      <c r="AC500" s="183"/>
      <c r="AD500" s="183"/>
      <c r="AE500" s="183"/>
      <c r="AF500" s="183"/>
      <c r="AG500" s="172">
        <f t="shared" si="14"/>
        <v>0</v>
      </c>
      <c r="AH500" s="173">
        <f>D500-AG500</f>
        <v>2</v>
      </c>
    </row>
    <row r="501" spans="1:34" ht="28.5" hidden="1" customHeight="1" x14ac:dyDescent="0.55000000000000004">
      <c r="A501" s="127">
        <v>522</v>
      </c>
      <c r="B501" s="124" t="s">
        <v>1088</v>
      </c>
      <c r="C501" s="90" t="s">
        <v>1089</v>
      </c>
      <c r="D501" s="90">
        <v>2</v>
      </c>
      <c r="E501" s="183"/>
      <c r="F501" s="185"/>
      <c r="G501" s="185"/>
      <c r="H501" s="185"/>
      <c r="I501" s="185"/>
      <c r="J501" s="185"/>
      <c r="K501" s="185"/>
      <c r="L501" s="185"/>
      <c r="M501" s="185"/>
      <c r="N501" s="185">
        <v>2</v>
      </c>
      <c r="O501" s="185"/>
      <c r="P501" s="185"/>
      <c r="Q501" s="185"/>
      <c r="R501" s="185"/>
      <c r="S501" s="185"/>
      <c r="T501" s="185"/>
      <c r="U501" s="185"/>
      <c r="V501" s="185"/>
      <c r="W501" s="185" t="s">
        <v>1029</v>
      </c>
      <c r="X501" s="185"/>
      <c r="Y501" s="185"/>
      <c r="Z501" s="185"/>
      <c r="AA501" s="185"/>
      <c r="AB501" s="185"/>
      <c r="AC501" s="185"/>
      <c r="AD501" s="185"/>
      <c r="AE501" s="185"/>
      <c r="AF501" s="186"/>
      <c r="AG501" s="172">
        <f>SUM(F501:AF501)</f>
        <v>2</v>
      </c>
      <c r="AH501" s="187">
        <f>D501-AG501</f>
        <v>0</v>
      </c>
    </row>
    <row r="502" spans="1:34" ht="36" hidden="1" x14ac:dyDescent="0.55000000000000004">
      <c r="A502" s="127">
        <v>523</v>
      </c>
      <c r="B502" s="124" t="s">
        <v>1090</v>
      </c>
      <c r="C502" s="90" t="s">
        <v>1091</v>
      </c>
      <c r="D502" s="90">
        <v>2</v>
      </c>
      <c r="E502" s="185"/>
      <c r="F502" s="185"/>
      <c r="G502" s="185"/>
      <c r="H502" s="185"/>
      <c r="I502" s="185"/>
      <c r="J502" s="185"/>
      <c r="K502" s="185"/>
      <c r="L502" s="185"/>
      <c r="M502" s="185">
        <v>1</v>
      </c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>
        <v>1</v>
      </c>
      <c r="Y502" s="185"/>
      <c r="Z502" s="185"/>
      <c r="AA502" s="185"/>
      <c r="AB502" s="185"/>
      <c r="AC502" s="185"/>
      <c r="AD502" s="185"/>
      <c r="AE502" s="185"/>
      <c r="AF502" s="185"/>
      <c r="AG502" s="172">
        <f t="shared" ref="AG502:AG505" si="15">SUM(F502:AF502)</f>
        <v>2</v>
      </c>
      <c r="AH502" s="187">
        <f>D502-AG502</f>
        <v>0</v>
      </c>
    </row>
    <row r="503" spans="1:34" ht="36" hidden="1" x14ac:dyDescent="0.55000000000000004">
      <c r="A503" s="127">
        <v>524</v>
      </c>
      <c r="B503" s="124" t="s">
        <v>1092</v>
      </c>
      <c r="C503" s="90" t="s">
        <v>1093</v>
      </c>
      <c r="D503" s="90">
        <v>2</v>
      </c>
      <c r="E503" s="185"/>
      <c r="F503" s="185"/>
      <c r="G503" s="185"/>
      <c r="H503" s="185"/>
      <c r="I503" s="185"/>
      <c r="J503" s="185"/>
      <c r="K503" s="185"/>
      <c r="L503" s="185"/>
      <c r="M503" s="185"/>
      <c r="N503" s="185">
        <v>1</v>
      </c>
      <c r="O503" s="185"/>
      <c r="P503" s="185"/>
      <c r="Q503" s="185"/>
      <c r="R503" s="185"/>
      <c r="S503" s="185"/>
      <c r="T503" s="185"/>
      <c r="U503" s="185"/>
      <c r="V503" s="185"/>
      <c r="W503" s="185"/>
      <c r="X503" s="185">
        <v>1</v>
      </c>
      <c r="Y503" s="185"/>
      <c r="Z503" s="185"/>
      <c r="AA503" s="185"/>
      <c r="AB503" s="185"/>
      <c r="AC503" s="185"/>
      <c r="AD503" s="185"/>
      <c r="AE503" s="185"/>
      <c r="AF503" s="185"/>
      <c r="AG503" s="172">
        <f t="shared" si="15"/>
        <v>2</v>
      </c>
      <c r="AH503" s="187">
        <f>D503-AG503</f>
        <v>0</v>
      </c>
    </row>
    <row r="504" spans="1:34" ht="36" hidden="1" x14ac:dyDescent="0.55000000000000004">
      <c r="A504" s="127">
        <v>525</v>
      </c>
      <c r="B504" s="124" t="s">
        <v>1094</v>
      </c>
      <c r="C504" s="90" t="s">
        <v>1095</v>
      </c>
      <c r="D504" s="90">
        <v>2</v>
      </c>
      <c r="E504" s="185"/>
      <c r="F504" s="185"/>
      <c r="G504" s="185"/>
      <c r="H504" s="185"/>
      <c r="I504" s="185"/>
      <c r="J504" s="185"/>
      <c r="K504" s="185"/>
      <c r="L504" s="185">
        <v>1</v>
      </c>
      <c r="M504" s="185"/>
      <c r="N504" s="185"/>
      <c r="O504" s="185"/>
      <c r="P504" s="185"/>
      <c r="Q504" s="185"/>
      <c r="R504" s="185">
        <v>1</v>
      </c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  <c r="AC504" s="185"/>
      <c r="AD504" s="185"/>
      <c r="AE504" s="185"/>
      <c r="AF504" s="185"/>
      <c r="AG504" s="172">
        <f t="shared" si="15"/>
        <v>2</v>
      </c>
      <c r="AH504" s="187">
        <f>D504-AG504</f>
        <v>0</v>
      </c>
    </row>
    <row r="505" spans="1:34" ht="36" hidden="1" x14ac:dyDescent="0.55000000000000004">
      <c r="A505" s="127">
        <v>526</v>
      </c>
      <c r="B505" s="124" t="s">
        <v>1097</v>
      </c>
      <c r="C505" s="90" t="s">
        <v>1133</v>
      </c>
      <c r="D505" s="90">
        <v>144</v>
      </c>
      <c r="E505" s="185"/>
      <c r="F505" s="185"/>
      <c r="G505" s="185">
        <v>7</v>
      </c>
      <c r="H505" s="185"/>
      <c r="I505" s="185">
        <v>4</v>
      </c>
      <c r="J505" s="185">
        <v>12</v>
      </c>
      <c r="K505" s="185"/>
      <c r="L505" s="185">
        <v>11</v>
      </c>
      <c r="M505" s="185">
        <v>12</v>
      </c>
      <c r="N505" s="185"/>
      <c r="O505" s="185"/>
      <c r="P505" s="185"/>
      <c r="Q505" s="185"/>
      <c r="R505" s="185">
        <v>5</v>
      </c>
      <c r="S505" s="185"/>
      <c r="T505" s="185"/>
      <c r="U505" s="185"/>
      <c r="V505" s="185"/>
      <c r="W505" s="185">
        <v>12</v>
      </c>
      <c r="X505" s="185">
        <v>12</v>
      </c>
      <c r="Y505" s="185"/>
      <c r="Z505" s="185"/>
      <c r="AA505" s="185"/>
      <c r="AB505" s="185"/>
      <c r="AC505" s="185"/>
      <c r="AD505" s="185"/>
      <c r="AE505" s="185"/>
      <c r="AF505" s="185"/>
      <c r="AG505" s="172">
        <f t="shared" si="15"/>
        <v>75</v>
      </c>
      <c r="AH505" s="187">
        <f>D505-AG505</f>
        <v>69</v>
      </c>
    </row>
    <row r="506" spans="1:34" ht="36" hidden="1" x14ac:dyDescent="0.55000000000000004">
      <c r="A506" s="127">
        <v>527</v>
      </c>
      <c r="B506" s="141" t="s">
        <v>1098</v>
      </c>
      <c r="C506" s="142" t="s">
        <v>1099</v>
      </c>
      <c r="D506" s="142">
        <v>4</v>
      </c>
      <c r="E506" s="185"/>
      <c r="F506" s="188"/>
      <c r="G506" s="188"/>
      <c r="H506" s="188"/>
      <c r="I506" s="188"/>
      <c r="J506" s="188"/>
      <c r="K506" s="183"/>
      <c r="L506" s="189">
        <v>2</v>
      </c>
      <c r="M506" s="189">
        <v>2</v>
      </c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  <c r="AC506" s="183"/>
      <c r="AD506" s="183"/>
      <c r="AE506" s="183"/>
      <c r="AF506" s="183"/>
      <c r="AG506" s="172">
        <f t="shared" ref="AG506:AG523" si="16">SUM(F506:AF506)</f>
        <v>4</v>
      </c>
      <c r="AH506" s="173">
        <f>D506-AG506</f>
        <v>0</v>
      </c>
    </row>
    <row r="507" spans="1:34" ht="36" hidden="1" x14ac:dyDescent="0.55000000000000004">
      <c r="A507" s="127">
        <v>528</v>
      </c>
      <c r="B507" s="143" t="s">
        <v>1100</v>
      </c>
      <c r="C507" s="144" t="s">
        <v>1101</v>
      </c>
      <c r="D507" s="144">
        <v>8</v>
      </c>
      <c r="E507" s="188"/>
      <c r="F507" s="190"/>
      <c r="G507" s="190"/>
      <c r="H507" s="190"/>
      <c r="I507" s="190"/>
      <c r="J507" s="191">
        <v>1</v>
      </c>
      <c r="K507" s="183"/>
      <c r="L507" s="183"/>
      <c r="M507" s="183">
        <v>5</v>
      </c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  <c r="AC507" s="183"/>
      <c r="AD507" s="183"/>
      <c r="AE507" s="183"/>
      <c r="AF507" s="183"/>
      <c r="AG507" s="172">
        <f t="shared" si="16"/>
        <v>6</v>
      </c>
      <c r="AH507" s="173">
        <f>D507-AG507</f>
        <v>2</v>
      </c>
    </row>
    <row r="508" spans="1:34" ht="36" hidden="1" x14ac:dyDescent="0.55000000000000004">
      <c r="A508" s="127">
        <v>529</v>
      </c>
      <c r="B508" s="145" t="s">
        <v>1102</v>
      </c>
      <c r="C508" s="146" t="s">
        <v>1103</v>
      </c>
      <c r="D508" s="146">
        <v>6</v>
      </c>
      <c r="E508" s="190"/>
      <c r="F508" s="192"/>
      <c r="G508" s="192"/>
      <c r="H508" s="192"/>
      <c r="I508" s="192"/>
      <c r="J508" s="192"/>
      <c r="K508" s="193"/>
      <c r="L508" s="193"/>
      <c r="M508" s="193">
        <v>2</v>
      </c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  <c r="AE508" s="193"/>
      <c r="AF508" s="193"/>
      <c r="AG508" s="175">
        <f t="shared" si="16"/>
        <v>2</v>
      </c>
      <c r="AH508" s="176">
        <f>D508-AG508</f>
        <v>4</v>
      </c>
    </row>
    <row r="509" spans="1:34" ht="35.25" hidden="1" x14ac:dyDescent="0.5">
      <c r="A509" s="127">
        <v>530</v>
      </c>
      <c r="B509" s="99" t="s">
        <v>742</v>
      </c>
      <c r="C509" s="45" t="s">
        <v>1104</v>
      </c>
      <c r="D509" s="47">
        <v>80</v>
      </c>
      <c r="E509" s="192"/>
      <c r="F509" s="171"/>
      <c r="G509" s="171"/>
      <c r="H509" s="171"/>
      <c r="I509" s="171"/>
      <c r="J509" s="171"/>
      <c r="K509" s="171"/>
      <c r="L509" s="171">
        <v>6</v>
      </c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  <c r="AE509" s="171"/>
      <c r="AF509" s="171">
        <v>1</v>
      </c>
      <c r="AG509" s="172">
        <f t="shared" si="16"/>
        <v>7</v>
      </c>
      <c r="AH509" s="173">
        <v>3</v>
      </c>
    </row>
    <row r="510" spans="1:34" ht="36" hidden="1" x14ac:dyDescent="0.55000000000000004">
      <c r="A510" s="127">
        <v>531</v>
      </c>
      <c r="B510" s="125" t="s">
        <v>1105</v>
      </c>
      <c r="C510" s="125" t="s">
        <v>1106</v>
      </c>
      <c r="D510" s="125">
        <v>1000</v>
      </c>
      <c r="E510" s="171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  <c r="AA510" s="185"/>
      <c r="AB510" s="185"/>
      <c r="AC510" s="185"/>
      <c r="AD510" s="185"/>
      <c r="AE510" s="185"/>
      <c r="AF510" s="185"/>
      <c r="AG510" s="172">
        <f t="shared" si="16"/>
        <v>0</v>
      </c>
      <c r="AH510" s="173">
        <f>D510-AG510</f>
        <v>1000</v>
      </c>
    </row>
    <row r="511" spans="1:34" ht="36" hidden="1" x14ac:dyDescent="0.55000000000000004">
      <c r="A511" s="127">
        <v>532</v>
      </c>
      <c r="B511" s="125" t="s">
        <v>1107</v>
      </c>
      <c r="C511" s="125" t="s">
        <v>1108</v>
      </c>
      <c r="D511" s="125">
        <v>1000</v>
      </c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  <c r="AA511" s="185"/>
      <c r="AB511" s="185"/>
      <c r="AC511" s="185"/>
      <c r="AD511" s="185">
        <v>1</v>
      </c>
      <c r="AE511" s="185"/>
      <c r="AF511" s="185"/>
      <c r="AG511" s="172">
        <f t="shared" si="16"/>
        <v>1</v>
      </c>
      <c r="AH511" s="173">
        <f>D511-AG511</f>
        <v>999</v>
      </c>
    </row>
    <row r="512" spans="1:34" ht="36" hidden="1" x14ac:dyDescent="0.55000000000000004">
      <c r="A512" s="127">
        <v>533</v>
      </c>
      <c r="B512" s="125" t="s">
        <v>1109</v>
      </c>
      <c r="C512" s="125" t="s">
        <v>1110</v>
      </c>
      <c r="D512" s="125">
        <v>1000</v>
      </c>
      <c r="E512" s="185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  <c r="AA512" s="194"/>
      <c r="AB512" s="194"/>
      <c r="AC512" s="194"/>
      <c r="AD512" s="194">
        <v>3</v>
      </c>
      <c r="AE512" s="194"/>
      <c r="AF512" s="194">
        <v>1</v>
      </c>
      <c r="AG512" s="172">
        <f t="shared" si="16"/>
        <v>4</v>
      </c>
      <c r="AH512" s="173">
        <f>D512-AG512</f>
        <v>996</v>
      </c>
    </row>
    <row r="513" spans="1:34" ht="36" hidden="1" x14ac:dyDescent="0.55000000000000004">
      <c r="A513" s="127">
        <v>534</v>
      </c>
      <c r="B513" s="126" t="s">
        <v>1111</v>
      </c>
      <c r="C513" s="126" t="s">
        <v>1112</v>
      </c>
      <c r="D513" s="126">
        <v>75</v>
      </c>
      <c r="E513" s="194">
        <v>2</v>
      </c>
      <c r="F513" s="185"/>
      <c r="G513" s="185">
        <v>2</v>
      </c>
      <c r="H513" s="185"/>
      <c r="I513" s="185"/>
      <c r="J513" s="185">
        <v>12</v>
      </c>
      <c r="K513" s="185"/>
      <c r="L513" s="185"/>
      <c r="M513" s="185">
        <v>2</v>
      </c>
      <c r="N513" s="185">
        <f>3+9+5</f>
        <v>17</v>
      </c>
      <c r="O513" s="185"/>
      <c r="P513" s="185"/>
      <c r="Q513" s="185"/>
      <c r="R513" s="185">
        <v>4</v>
      </c>
      <c r="S513" s="185"/>
      <c r="T513" s="185"/>
      <c r="U513" s="185"/>
      <c r="V513" s="185"/>
      <c r="W513" s="185">
        <v>6</v>
      </c>
      <c r="X513" s="185">
        <f>9+10</f>
        <v>19</v>
      </c>
      <c r="Y513" s="185">
        <v>1</v>
      </c>
      <c r="Z513" s="185"/>
      <c r="AA513" s="185"/>
      <c r="AB513" s="185"/>
      <c r="AC513" s="185"/>
      <c r="AD513" s="185"/>
      <c r="AE513" s="185"/>
      <c r="AF513" s="185">
        <v>2</v>
      </c>
      <c r="AG513" s="172">
        <f t="shared" si="16"/>
        <v>65</v>
      </c>
      <c r="AH513" s="173">
        <f>D513-AG513</f>
        <v>10</v>
      </c>
    </row>
    <row r="514" spans="1:34" ht="36" hidden="1" x14ac:dyDescent="0.55000000000000004">
      <c r="A514" s="127">
        <v>535</v>
      </c>
      <c r="B514" s="126" t="s">
        <v>1113</v>
      </c>
      <c r="C514" s="126" t="s">
        <v>1114</v>
      </c>
      <c r="D514" s="126">
        <v>24</v>
      </c>
      <c r="E514" s="185"/>
      <c r="F514" s="185"/>
      <c r="G514" s="185"/>
      <c r="H514" s="185"/>
      <c r="I514" s="185"/>
      <c r="J514" s="185"/>
      <c r="K514" s="185"/>
      <c r="L514" s="185"/>
      <c r="M514" s="185"/>
      <c r="N514" s="185">
        <v>2</v>
      </c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  <c r="AA514" s="185"/>
      <c r="AB514" s="185"/>
      <c r="AC514" s="185"/>
      <c r="AD514" s="185"/>
      <c r="AE514" s="185"/>
      <c r="AF514" s="185">
        <v>1</v>
      </c>
      <c r="AG514" s="172">
        <f t="shared" si="16"/>
        <v>3</v>
      </c>
      <c r="AH514" s="173">
        <f>D514-AG514</f>
        <v>21</v>
      </c>
    </row>
    <row r="515" spans="1:34" ht="36" hidden="1" x14ac:dyDescent="0.55000000000000004">
      <c r="A515" s="127">
        <v>536</v>
      </c>
      <c r="B515" s="126" t="s">
        <v>1115</v>
      </c>
      <c r="C515" s="126" t="s">
        <v>1116</v>
      </c>
      <c r="D515" s="126">
        <v>80</v>
      </c>
      <c r="E515" s="185"/>
      <c r="F515" s="185"/>
      <c r="G515" s="185"/>
      <c r="H515" s="185"/>
      <c r="I515" s="185">
        <v>5</v>
      </c>
      <c r="J515" s="185">
        <v>16</v>
      </c>
      <c r="K515" s="185"/>
      <c r="L515" s="185"/>
      <c r="M515" s="185">
        <v>16</v>
      </c>
      <c r="N515" s="185">
        <v>16</v>
      </c>
      <c r="O515" s="185"/>
      <c r="P515" s="185"/>
      <c r="Q515" s="185"/>
      <c r="R515" s="185">
        <v>15</v>
      </c>
      <c r="S515" s="185"/>
      <c r="T515" s="185"/>
      <c r="U515" s="185"/>
      <c r="V515" s="185"/>
      <c r="W515" s="185">
        <v>16</v>
      </c>
      <c r="X515" s="185">
        <v>16</v>
      </c>
      <c r="Y515" s="185"/>
      <c r="Z515" s="185"/>
      <c r="AA515" s="185"/>
      <c r="AB515" s="185"/>
      <c r="AC515" s="185"/>
      <c r="AD515" s="185">
        <v>1</v>
      </c>
      <c r="AE515" s="185"/>
      <c r="AF515" s="185"/>
      <c r="AG515" s="172">
        <f t="shared" si="16"/>
        <v>101</v>
      </c>
      <c r="AH515" s="173">
        <f>D515-AG515</f>
        <v>-21</v>
      </c>
    </row>
    <row r="516" spans="1:34" ht="36" hidden="1" x14ac:dyDescent="0.55000000000000004">
      <c r="A516" s="127">
        <v>537</v>
      </c>
      <c r="B516" s="126" t="s">
        <v>1117</v>
      </c>
      <c r="C516" s="126" t="s">
        <v>1118</v>
      </c>
      <c r="D516" s="126">
        <v>15</v>
      </c>
      <c r="E516" s="185"/>
      <c r="F516" s="185"/>
      <c r="G516" s="185"/>
      <c r="H516" s="185"/>
      <c r="I516" s="185"/>
      <c r="J516" s="185"/>
      <c r="K516" s="185"/>
      <c r="L516" s="185"/>
      <c r="M516" s="185"/>
      <c r="N516" s="185">
        <v>5</v>
      </c>
      <c r="O516" s="185"/>
      <c r="P516" s="185"/>
      <c r="Q516" s="185"/>
      <c r="R516" s="185">
        <v>5</v>
      </c>
      <c r="S516" s="185"/>
      <c r="T516" s="185"/>
      <c r="U516" s="185"/>
      <c r="V516" s="185"/>
      <c r="W516" s="185"/>
      <c r="X516" s="185"/>
      <c r="Y516" s="185"/>
      <c r="Z516" s="185"/>
      <c r="AA516" s="185"/>
      <c r="AB516" s="185"/>
      <c r="AC516" s="185"/>
      <c r="AD516" s="185"/>
      <c r="AE516" s="185"/>
      <c r="AF516" s="185">
        <v>1</v>
      </c>
      <c r="AG516" s="172">
        <f t="shared" si="16"/>
        <v>11</v>
      </c>
      <c r="AH516" s="173">
        <f>D516-AG516</f>
        <v>4</v>
      </c>
    </row>
    <row r="517" spans="1:34" ht="36" hidden="1" x14ac:dyDescent="0.55000000000000004">
      <c r="A517" s="127">
        <v>538</v>
      </c>
      <c r="B517" s="126" t="s">
        <v>1119</v>
      </c>
      <c r="C517" s="126" t="s">
        <v>1120</v>
      </c>
      <c r="D517" s="126">
        <v>15</v>
      </c>
      <c r="E517" s="185"/>
      <c r="F517" s="185"/>
      <c r="G517" s="185"/>
      <c r="H517" s="185"/>
      <c r="I517" s="185"/>
      <c r="J517" s="185"/>
      <c r="K517" s="185"/>
      <c r="L517" s="185"/>
      <c r="M517" s="185"/>
      <c r="N517" s="185">
        <v>13</v>
      </c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  <c r="AA517" s="185"/>
      <c r="AB517" s="185"/>
      <c r="AC517" s="185"/>
      <c r="AD517" s="185">
        <v>1</v>
      </c>
      <c r="AE517" s="185"/>
      <c r="AF517" s="185"/>
      <c r="AG517" s="172">
        <f t="shared" si="16"/>
        <v>14</v>
      </c>
      <c r="AH517" s="173">
        <f>D517-AG517</f>
        <v>1</v>
      </c>
    </row>
    <row r="518" spans="1:34" ht="36" hidden="1" x14ac:dyDescent="0.55000000000000004">
      <c r="A518" s="127">
        <v>539</v>
      </c>
      <c r="B518" s="126" t="s">
        <v>1121</v>
      </c>
      <c r="C518" s="126" t="s">
        <v>1122</v>
      </c>
      <c r="D518" s="126">
        <v>10</v>
      </c>
      <c r="E518" s="185"/>
      <c r="F518" s="185"/>
      <c r="G518" s="185"/>
      <c r="H518" s="185"/>
      <c r="I518" s="185"/>
      <c r="J518" s="185"/>
      <c r="K518" s="185"/>
      <c r="L518" s="185"/>
      <c r="M518" s="185"/>
      <c r="N518" s="185">
        <v>5</v>
      </c>
      <c r="O518" s="185"/>
      <c r="P518" s="185"/>
      <c r="Q518" s="185"/>
      <c r="R518" s="185">
        <v>4</v>
      </c>
      <c r="S518" s="185"/>
      <c r="T518" s="185"/>
      <c r="U518" s="185"/>
      <c r="V518" s="185"/>
      <c r="W518" s="185"/>
      <c r="X518" s="185"/>
      <c r="Y518" s="185"/>
      <c r="Z518" s="185"/>
      <c r="AA518" s="185"/>
      <c r="AB518" s="185"/>
      <c r="AC518" s="185"/>
      <c r="AD518" s="185"/>
      <c r="AE518" s="185"/>
      <c r="AF518" s="185"/>
      <c r="AG518" s="172">
        <f t="shared" si="16"/>
        <v>9</v>
      </c>
      <c r="AH518" s="173">
        <f>D518-AG518</f>
        <v>1</v>
      </c>
    </row>
    <row r="519" spans="1:34" ht="36" hidden="1" x14ac:dyDescent="0.55000000000000004">
      <c r="A519" s="127">
        <v>540</v>
      </c>
      <c r="B519" s="126" t="s">
        <v>1123</v>
      </c>
      <c r="C519" s="126" t="s">
        <v>1124</v>
      </c>
      <c r="D519" s="126">
        <v>10</v>
      </c>
      <c r="E519" s="185"/>
      <c r="F519" s="185"/>
      <c r="G519" s="185"/>
      <c r="H519" s="185"/>
      <c r="I519" s="185"/>
      <c r="J519" s="185"/>
      <c r="K519" s="185"/>
      <c r="L519" s="185"/>
      <c r="M519" s="185">
        <v>8</v>
      </c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  <c r="AA519" s="185"/>
      <c r="AB519" s="185"/>
      <c r="AC519" s="185"/>
      <c r="AD519" s="185"/>
      <c r="AE519" s="185"/>
      <c r="AF519" s="185"/>
      <c r="AG519" s="172">
        <f t="shared" si="16"/>
        <v>8</v>
      </c>
      <c r="AH519" s="173">
        <f>D519-AG519</f>
        <v>2</v>
      </c>
    </row>
    <row r="520" spans="1:34" ht="36" hidden="1" x14ac:dyDescent="0.55000000000000004">
      <c r="A520" s="127">
        <v>541</v>
      </c>
      <c r="B520" s="126" t="s">
        <v>617</v>
      </c>
      <c r="C520" s="126" t="s">
        <v>1125</v>
      </c>
      <c r="D520" s="126">
        <v>16</v>
      </c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  <c r="AA520" s="185"/>
      <c r="AB520" s="185"/>
      <c r="AC520" s="185"/>
      <c r="AD520" s="185"/>
      <c r="AE520" s="185"/>
      <c r="AF520" s="185"/>
      <c r="AG520" s="172">
        <f t="shared" si="16"/>
        <v>0</v>
      </c>
      <c r="AH520" s="173">
        <f>D520-AG520</f>
        <v>16</v>
      </c>
    </row>
    <row r="521" spans="1:34" ht="36" hidden="1" x14ac:dyDescent="0.55000000000000004">
      <c r="A521" s="127">
        <v>542</v>
      </c>
      <c r="B521" s="126" t="s">
        <v>1126</v>
      </c>
      <c r="C521" s="126" t="s">
        <v>1127</v>
      </c>
      <c r="D521" s="126">
        <v>30</v>
      </c>
      <c r="E521" s="185">
        <v>10</v>
      </c>
      <c r="F521" s="185"/>
      <c r="G521" s="185"/>
      <c r="H521" s="185"/>
      <c r="I521" s="185"/>
      <c r="J521" s="185">
        <v>5</v>
      </c>
      <c r="K521" s="185"/>
      <c r="L521" s="185"/>
      <c r="M521" s="185">
        <v>10</v>
      </c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  <c r="AA521" s="185"/>
      <c r="AB521" s="185"/>
      <c r="AC521" s="185"/>
      <c r="AD521" s="185"/>
      <c r="AE521" s="185"/>
      <c r="AF521" s="185"/>
      <c r="AG521" s="172">
        <f t="shared" si="16"/>
        <v>15</v>
      </c>
      <c r="AH521" s="173">
        <f>D521-AG521</f>
        <v>15</v>
      </c>
    </row>
    <row r="522" spans="1:34" ht="36" hidden="1" x14ac:dyDescent="0.55000000000000004">
      <c r="A522" s="127">
        <v>543</v>
      </c>
      <c r="B522" s="129" t="s">
        <v>275</v>
      </c>
      <c r="C522" s="129" t="s">
        <v>1129</v>
      </c>
      <c r="D522" s="129">
        <v>8</v>
      </c>
      <c r="E522" s="185"/>
      <c r="F522" s="180"/>
      <c r="G522" s="180"/>
      <c r="H522" s="180"/>
      <c r="I522" s="180"/>
      <c r="J522" s="180"/>
      <c r="K522" s="180"/>
      <c r="L522" s="180"/>
      <c r="M522" s="180"/>
      <c r="N522" s="180">
        <v>2</v>
      </c>
      <c r="O522" s="180"/>
      <c r="P522" s="180"/>
      <c r="Q522" s="180"/>
      <c r="R522" s="180">
        <v>1</v>
      </c>
      <c r="S522" s="180"/>
      <c r="T522" s="180"/>
      <c r="U522" s="180"/>
      <c r="V522" s="180"/>
      <c r="W522" s="180">
        <v>2</v>
      </c>
      <c r="X522" s="180"/>
      <c r="Y522" s="180"/>
      <c r="Z522" s="180"/>
      <c r="AA522" s="180"/>
      <c r="AB522" s="180"/>
      <c r="AC522" s="180"/>
      <c r="AD522" s="180">
        <v>1</v>
      </c>
      <c r="AE522" s="180">
        <v>1</v>
      </c>
      <c r="AF522" s="180">
        <v>1</v>
      </c>
      <c r="AG522" s="172">
        <f t="shared" si="16"/>
        <v>8</v>
      </c>
      <c r="AH522" s="173">
        <f>D522-AG522</f>
        <v>0</v>
      </c>
    </row>
    <row r="523" spans="1:34" ht="31.5" hidden="1" customHeight="1" x14ac:dyDescent="0.55000000000000004">
      <c r="A523" s="127">
        <v>544</v>
      </c>
      <c r="B523" s="129" t="s">
        <v>1130</v>
      </c>
      <c r="C523" s="129" t="s">
        <v>1131</v>
      </c>
      <c r="D523" s="129">
        <v>3</v>
      </c>
      <c r="E523" s="180"/>
      <c r="F523" s="180"/>
      <c r="G523" s="180"/>
      <c r="H523" s="180"/>
      <c r="I523" s="180"/>
      <c r="J523" s="180"/>
      <c r="K523" s="180"/>
      <c r="L523" s="180"/>
      <c r="M523" s="180"/>
      <c r="N523" s="180">
        <v>1</v>
      </c>
      <c r="O523" s="180"/>
      <c r="P523" s="180"/>
      <c r="Q523" s="180">
        <v>1</v>
      </c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>
        <v>1</v>
      </c>
      <c r="AE523" s="180"/>
      <c r="AF523" s="180"/>
      <c r="AG523" s="172">
        <f t="shared" si="16"/>
        <v>3</v>
      </c>
      <c r="AH523" s="173">
        <f>D523-AG523</f>
        <v>0</v>
      </c>
    </row>
    <row r="524" spans="1:34" ht="36" hidden="1" x14ac:dyDescent="0.55000000000000004">
      <c r="A524" s="127">
        <v>545</v>
      </c>
      <c r="B524" s="56" t="s">
        <v>1021</v>
      </c>
      <c r="C524" s="56" t="s">
        <v>1136</v>
      </c>
      <c r="D524" s="56">
        <v>64</v>
      </c>
      <c r="E524" s="180"/>
      <c r="F524" s="183"/>
      <c r="G524" s="183">
        <v>12</v>
      </c>
      <c r="H524" s="183"/>
      <c r="I524" s="183">
        <v>12</v>
      </c>
      <c r="J524" s="183"/>
      <c r="K524" s="183"/>
      <c r="L524" s="183"/>
      <c r="M524" s="183"/>
      <c r="N524" s="183"/>
      <c r="O524" s="183"/>
      <c r="P524" s="183"/>
      <c r="Q524" s="183"/>
      <c r="R524" s="183">
        <v>15</v>
      </c>
      <c r="S524" s="183">
        <v>6</v>
      </c>
      <c r="T524" s="183"/>
      <c r="U524" s="183"/>
      <c r="V524" s="183"/>
      <c r="W524" s="183"/>
      <c r="X524" s="183"/>
      <c r="Y524" s="183"/>
      <c r="Z524" s="183"/>
      <c r="AA524" s="183"/>
      <c r="AB524" s="183"/>
      <c r="AC524" s="183"/>
      <c r="AD524" s="183">
        <v>10</v>
      </c>
      <c r="AE524" s="183"/>
      <c r="AF524" s="183">
        <v>2</v>
      </c>
      <c r="AG524" s="172"/>
      <c r="AH524" s="173">
        <f>D524-AG524</f>
        <v>64</v>
      </c>
    </row>
    <row r="525" spans="1:34" ht="36" hidden="1" x14ac:dyDescent="0.55000000000000004">
      <c r="A525" s="127">
        <v>546</v>
      </c>
      <c r="B525" s="96" t="s">
        <v>1137</v>
      </c>
      <c r="C525" s="37" t="s">
        <v>1138</v>
      </c>
      <c r="D525" s="37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>
        <v>6</v>
      </c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  <c r="AC525" s="183"/>
      <c r="AD525" s="183"/>
      <c r="AE525" s="183"/>
      <c r="AF525" s="183"/>
      <c r="AG525" s="172"/>
      <c r="AH525" s="173"/>
    </row>
    <row r="526" spans="1:34" ht="36" hidden="1" x14ac:dyDescent="0.55000000000000004">
      <c r="A526" s="127">
        <v>547</v>
      </c>
      <c r="B526" s="131" t="s">
        <v>1139</v>
      </c>
      <c r="C526" s="131" t="s">
        <v>1140</v>
      </c>
      <c r="D526" s="131">
        <v>17</v>
      </c>
      <c r="E526" s="183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>
        <v>3</v>
      </c>
      <c r="S526" s="185"/>
      <c r="T526" s="185"/>
      <c r="U526" s="185"/>
      <c r="V526" s="185"/>
      <c r="W526" s="185">
        <v>5</v>
      </c>
      <c r="X526" s="185"/>
      <c r="Y526" s="185"/>
      <c r="Z526" s="185"/>
      <c r="AA526" s="185"/>
      <c r="AB526" s="185"/>
      <c r="AC526" s="185"/>
      <c r="AD526" s="185"/>
      <c r="AE526" s="185"/>
      <c r="AF526" s="185"/>
      <c r="AG526" s="195"/>
      <c r="AH526" s="187"/>
    </row>
    <row r="527" spans="1:34" ht="36" hidden="1" x14ac:dyDescent="0.55000000000000004">
      <c r="A527" s="127">
        <v>548</v>
      </c>
      <c r="B527" s="131" t="s">
        <v>1141</v>
      </c>
      <c r="C527" s="131" t="s">
        <v>1142</v>
      </c>
      <c r="D527" s="131">
        <v>28</v>
      </c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>
        <v>3</v>
      </c>
      <c r="S527" s="185"/>
      <c r="T527" s="185"/>
      <c r="U527" s="185"/>
      <c r="V527" s="185"/>
      <c r="W527" s="185">
        <v>5</v>
      </c>
      <c r="X527" s="185"/>
      <c r="Y527" s="185"/>
      <c r="Z527" s="185"/>
      <c r="AA527" s="185"/>
      <c r="AB527" s="185"/>
      <c r="AC527" s="185"/>
      <c r="AD527" s="185"/>
      <c r="AE527" s="185"/>
      <c r="AF527" s="185"/>
      <c r="AG527" s="195"/>
      <c r="AH527" s="187"/>
    </row>
    <row r="528" spans="1:34" ht="36" hidden="1" x14ac:dyDescent="0.55000000000000004">
      <c r="A528" s="127">
        <v>549</v>
      </c>
      <c r="B528" s="131" t="s">
        <v>1143</v>
      </c>
      <c r="C528" s="131" t="s">
        <v>1144</v>
      </c>
      <c r="D528" s="131">
        <v>46</v>
      </c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>
        <v>5</v>
      </c>
      <c r="X528" s="185"/>
      <c r="Y528" s="185"/>
      <c r="Z528" s="185"/>
      <c r="AA528" s="185"/>
      <c r="AB528" s="185"/>
      <c r="AC528" s="185"/>
      <c r="AD528" s="185"/>
      <c r="AE528" s="185"/>
      <c r="AF528" s="185"/>
      <c r="AG528" s="195"/>
      <c r="AH528" s="187"/>
    </row>
    <row r="529" spans="1:34" ht="36" hidden="1" x14ac:dyDescent="0.55000000000000004">
      <c r="A529" s="127">
        <v>550</v>
      </c>
      <c r="B529" s="133" t="s">
        <v>1147</v>
      </c>
      <c r="C529" s="134" t="s">
        <v>1148</v>
      </c>
      <c r="D529" s="134">
        <v>1</v>
      </c>
      <c r="E529" s="185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>
        <v>1</v>
      </c>
      <c r="AG529" s="172">
        <f>SUM(F529:AF529)</f>
        <v>1</v>
      </c>
      <c r="AH529" s="173">
        <f>D529-AG529</f>
        <v>0</v>
      </c>
    </row>
    <row r="530" spans="1:34" ht="36" hidden="1" x14ac:dyDescent="0.55000000000000004">
      <c r="A530" s="127">
        <v>551</v>
      </c>
      <c r="B530" s="96" t="s">
        <v>833</v>
      </c>
      <c r="C530" s="37" t="s">
        <v>834</v>
      </c>
      <c r="D530" s="38">
        <v>20</v>
      </c>
      <c r="E530" s="180"/>
      <c r="F530" s="171"/>
      <c r="G530" s="171"/>
      <c r="H530" s="171"/>
      <c r="I530" s="171"/>
      <c r="J530" s="171"/>
      <c r="K530" s="171"/>
      <c r="L530" s="171">
        <v>2</v>
      </c>
      <c r="M530" s="171"/>
      <c r="N530" s="171">
        <v>2</v>
      </c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1"/>
      <c r="AD530" s="171">
        <v>2</v>
      </c>
      <c r="AE530" s="171"/>
      <c r="AF530" s="171"/>
      <c r="AG530" s="172">
        <f>SUM(F530:AF530)</f>
        <v>6</v>
      </c>
      <c r="AH530" s="173">
        <f>D530-AG530</f>
        <v>14</v>
      </c>
    </row>
    <row r="531" spans="1:34" ht="36" hidden="1" x14ac:dyDescent="0.55000000000000004">
      <c r="A531" s="127">
        <v>552</v>
      </c>
      <c r="B531" s="70" t="s">
        <v>1149</v>
      </c>
      <c r="C531" s="70" t="s">
        <v>1150</v>
      </c>
      <c r="D531" s="70">
        <v>2</v>
      </c>
      <c r="E531" s="171"/>
      <c r="F531" s="196"/>
      <c r="G531" s="196"/>
      <c r="H531" s="196"/>
      <c r="I531" s="196"/>
      <c r="J531" s="196"/>
      <c r="K531" s="196"/>
      <c r="L531" s="196">
        <v>1</v>
      </c>
      <c r="M531" s="196"/>
      <c r="N531" s="196"/>
      <c r="O531" s="196"/>
      <c r="P531" s="196"/>
      <c r="Q531" s="196">
        <v>1</v>
      </c>
      <c r="R531" s="196">
        <v>1</v>
      </c>
      <c r="S531" s="196"/>
      <c r="T531" s="196"/>
      <c r="U531" s="196"/>
      <c r="V531" s="196"/>
      <c r="W531" s="196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5">
        <f t="shared" ref="AG531:AG542" si="17">SUM(F531:AF531)</f>
        <v>3</v>
      </c>
      <c r="AH531" s="187">
        <f>D531-AG531</f>
        <v>-1</v>
      </c>
    </row>
    <row r="532" spans="1:34" ht="36" hidden="1" x14ac:dyDescent="0.55000000000000004">
      <c r="A532" s="127">
        <v>553</v>
      </c>
      <c r="B532" s="135" t="s">
        <v>1171</v>
      </c>
      <c r="C532" s="135" t="s">
        <v>1151</v>
      </c>
      <c r="D532" s="135">
        <v>30</v>
      </c>
      <c r="E532" s="196"/>
      <c r="F532" s="196">
        <v>4</v>
      </c>
      <c r="G532" s="196"/>
      <c r="H532" s="196"/>
      <c r="I532" s="196"/>
      <c r="J532" s="196">
        <v>1</v>
      </c>
      <c r="K532" s="196"/>
      <c r="L532" s="196">
        <v>4</v>
      </c>
      <c r="M532" s="196"/>
      <c r="N532" s="196">
        <v>4</v>
      </c>
      <c r="O532" s="196"/>
      <c r="P532" s="196"/>
      <c r="Q532" s="196">
        <v>2</v>
      </c>
      <c r="R532" s="196">
        <f>2+1</f>
        <v>3</v>
      </c>
      <c r="S532" s="196"/>
      <c r="T532" s="196"/>
      <c r="U532" s="196"/>
      <c r="V532" s="196"/>
      <c r="W532" s="196">
        <v>4</v>
      </c>
      <c r="X532" s="196">
        <v>4</v>
      </c>
      <c r="Y532" s="196"/>
      <c r="Z532" s="196"/>
      <c r="AA532" s="196"/>
      <c r="AB532" s="196"/>
      <c r="AC532" s="196"/>
      <c r="AD532" s="196">
        <v>2</v>
      </c>
      <c r="AE532" s="196"/>
      <c r="AF532" s="196">
        <v>2</v>
      </c>
      <c r="AG532" s="195">
        <f t="shared" si="17"/>
        <v>30</v>
      </c>
      <c r="AH532" s="187">
        <f>D532-AG532</f>
        <v>0</v>
      </c>
    </row>
    <row r="533" spans="1:34" ht="36" hidden="1" x14ac:dyDescent="0.55000000000000004">
      <c r="A533" s="127">
        <v>554</v>
      </c>
      <c r="B533" s="135" t="s">
        <v>1152</v>
      </c>
      <c r="C533" s="135" t="s">
        <v>1153</v>
      </c>
      <c r="D533" s="135">
        <v>5</v>
      </c>
      <c r="E533" s="196"/>
      <c r="F533" s="196">
        <v>1</v>
      </c>
      <c r="G533" s="196"/>
      <c r="H533" s="196"/>
      <c r="I533" s="196"/>
      <c r="J533" s="196">
        <v>1</v>
      </c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5">
        <f t="shared" si="17"/>
        <v>2</v>
      </c>
      <c r="AH533" s="187">
        <f>D533-AG533</f>
        <v>3</v>
      </c>
    </row>
    <row r="534" spans="1:34" ht="36" hidden="1" x14ac:dyDescent="0.55000000000000004">
      <c r="A534" s="127">
        <v>556</v>
      </c>
      <c r="B534" s="135" t="s">
        <v>1155</v>
      </c>
      <c r="C534" s="135" t="s">
        <v>1156</v>
      </c>
      <c r="D534" s="135">
        <v>6</v>
      </c>
      <c r="E534" s="196">
        <v>1</v>
      </c>
      <c r="F534" s="196"/>
      <c r="G534" s="196"/>
      <c r="H534" s="196"/>
      <c r="I534" s="196"/>
      <c r="J534" s="196"/>
      <c r="K534" s="196"/>
      <c r="L534" s="196"/>
      <c r="M534" s="196"/>
      <c r="N534" s="196">
        <v>1</v>
      </c>
      <c r="O534" s="196"/>
      <c r="P534" s="196"/>
      <c r="Q534" s="196"/>
      <c r="R534" s="196"/>
      <c r="S534" s="196"/>
      <c r="T534" s="196"/>
      <c r="U534" s="196"/>
      <c r="V534" s="196"/>
      <c r="W534" s="196"/>
      <c r="X534" s="196">
        <v>1</v>
      </c>
      <c r="Y534" s="196"/>
      <c r="Z534" s="196"/>
      <c r="AA534" s="196"/>
      <c r="AB534" s="196"/>
      <c r="AC534" s="196"/>
      <c r="AD534" s="196"/>
      <c r="AE534" s="196"/>
      <c r="AF534" s="196"/>
      <c r="AG534" s="195">
        <f t="shared" si="17"/>
        <v>2</v>
      </c>
      <c r="AH534" s="187">
        <f>D534-AG534</f>
        <v>4</v>
      </c>
    </row>
    <row r="535" spans="1:34" ht="36" hidden="1" x14ac:dyDescent="0.55000000000000004">
      <c r="A535" s="127">
        <v>557</v>
      </c>
      <c r="B535" s="135" t="s">
        <v>1157</v>
      </c>
      <c r="C535" s="135" t="s">
        <v>1158</v>
      </c>
      <c r="D535" s="135">
        <v>3</v>
      </c>
      <c r="E535" s="196"/>
      <c r="F535" s="196"/>
      <c r="G535" s="196"/>
      <c r="H535" s="196"/>
      <c r="I535" s="196"/>
      <c r="J535" s="196"/>
      <c r="K535" s="196"/>
      <c r="L535" s="196"/>
      <c r="M535" s="196">
        <v>1</v>
      </c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5">
        <f t="shared" si="17"/>
        <v>1</v>
      </c>
      <c r="AH535" s="187">
        <f>D535-AG535</f>
        <v>2</v>
      </c>
    </row>
    <row r="536" spans="1:34" ht="36" hidden="1" x14ac:dyDescent="0.55000000000000004">
      <c r="A536" s="127">
        <v>558</v>
      </c>
      <c r="B536" s="135" t="s">
        <v>1159</v>
      </c>
      <c r="C536" s="135" t="s">
        <v>1160</v>
      </c>
      <c r="D536" s="135">
        <v>5</v>
      </c>
      <c r="E536" s="196"/>
      <c r="F536" s="196"/>
      <c r="G536" s="196"/>
      <c r="H536" s="196"/>
      <c r="I536" s="196"/>
      <c r="J536" s="196"/>
      <c r="K536" s="196"/>
      <c r="L536" s="196">
        <v>1</v>
      </c>
      <c r="M536" s="196"/>
      <c r="N536" s="196">
        <v>1</v>
      </c>
      <c r="O536" s="196"/>
      <c r="P536" s="196"/>
      <c r="Q536" s="196">
        <v>1</v>
      </c>
      <c r="R536" s="196"/>
      <c r="S536" s="196"/>
      <c r="T536" s="196"/>
      <c r="U536" s="196"/>
      <c r="V536" s="196"/>
      <c r="W536" s="196"/>
      <c r="X536" s="196">
        <v>1</v>
      </c>
      <c r="Y536" s="196"/>
      <c r="Z536" s="196"/>
      <c r="AA536" s="196"/>
      <c r="AB536" s="196"/>
      <c r="AC536" s="196"/>
      <c r="AD536" s="196"/>
      <c r="AE536" s="196"/>
      <c r="AF536" s="196"/>
      <c r="AG536" s="195">
        <f t="shared" si="17"/>
        <v>4</v>
      </c>
      <c r="AH536" s="187">
        <f>D536-AG536</f>
        <v>1</v>
      </c>
    </row>
    <row r="537" spans="1:34" ht="36" hidden="1" x14ac:dyDescent="0.55000000000000004">
      <c r="A537" s="127">
        <v>559</v>
      </c>
      <c r="B537" s="135" t="s">
        <v>1161</v>
      </c>
      <c r="C537" s="135" t="s">
        <v>1162</v>
      </c>
      <c r="D537" s="135">
        <v>5</v>
      </c>
      <c r="E537" s="196"/>
      <c r="F537" s="196"/>
      <c r="G537" s="196"/>
      <c r="H537" s="196"/>
      <c r="I537" s="196"/>
      <c r="J537" s="196"/>
      <c r="K537" s="196"/>
      <c r="L537" s="196">
        <v>1</v>
      </c>
      <c r="M537" s="196"/>
      <c r="N537" s="196">
        <v>1</v>
      </c>
      <c r="O537" s="196"/>
      <c r="P537" s="196"/>
      <c r="Q537" s="196">
        <v>1</v>
      </c>
      <c r="R537" s="196"/>
      <c r="S537" s="196"/>
      <c r="T537" s="196"/>
      <c r="U537" s="196"/>
      <c r="V537" s="196"/>
      <c r="W537" s="196"/>
      <c r="X537" s="196">
        <v>1</v>
      </c>
      <c r="Y537" s="196"/>
      <c r="Z537" s="196"/>
      <c r="AA537" s="196"/>
      <c r="AB537" s="196"/>
      <c r="AC537" s="196"/>
      <c r="AD537" s="196"/>
      <c r="AE537" s="196"/>
      <c r="AF537" s="196"/>
      <c r="AG537" s="195">
        <f t="shared" si="17"/>
        <v>4</v>
      </c>
      <c r="AH537" s="187">
        <f>D537-AG537</f>
        <v>1</v>
      </c>
    </row>
    <row r="538" spans="1:34" ht="36" hidden="1" x14ac:dyDescent="0.55000000000000004">
      <c r="A538" s="127">
        <v>560</v>
      </c>
      <c r="B538" s="135" t="s">
        <v>1163</v>
      </c>
      <c r="C538" s="135" t="s">
        <v>1164</v>
      </c>
      <c r="D538" s="135">
        <v>10</v>
      </c>
      <c r="E538" s="196"/>
      <c r="F538" s="196"/>
      <c r="G538" s="196"/>
      <c r="H538" s="196"/>
      <c r="I538" s="196"/>
      <c r="J538" s="196"/>
      <c r="K538" s="196"/>
      <c r="L538" s="196">
        <v>2</v>
      </c>
      <c r="M538" s="196"/>
      <c r="N538" s="196">
        <v>3</v>
      </c>
      <c r="O538" s="196"/>
      <c r="P538" s="196"/>
      <c r="Q538" s="196"/>
      <c r="R538" s="196">
        <v>1</v>
      </c>
      <c r="S538" s="196"/>
      <c r="T538" s="196"/>
      <c r="U538" s="196"/>
      <c r="V538" s="196"/>
      <c r="W538" s="196"/>
      <c r="X538" s="196">
        <v>2</v>
      </c>
      <c r="Y538" s="196"/>
      <c r="Z538" s="196"/>
      <c r="AA538" s="196"/>
      <c r="AB538" s="196"/>
      <c r="AC538" s="196"/>
      <c r="AD538" s="196"/>
      <c r="AE538" s="196"/>
      <c r="AF538" s="196"/>
      <c r="AG538" s="195">
        <f t="shared" si="17"/>
        <v>8</v>
      </c>
      <c r="AH538" s="187">
        <f>D538-AG538</f>
        <v>2</v>
      </c>
    </row>
    <row r="539" spans="1:34" ht="36" hidden="1" x14ac:dyDescent="0.55000000000000004">
      <c r="A539" s="127">
        <v>561</v>
      </c>
      <c r="B539" s="135" t="s">
        <v>1165</v>
      </c>
      <c r="C539" s="135" t="s">
        <v>1166</v>
      </c>
      <c r="D539" s="135">
        <v>10</v>
      </c>
      <c r="E539" s="196"/>
      <c r="F539" s="196"/>
      <c r="G539" s="196"/>
      <c r="H539" s="196"/>
      <c r="I539" s="196"/>
      <c r="J539" s="196"/>
      <c r="K539" s="196"/>
      <c r="L539" s="196"/>
      <c r="M539" s="196"/>
      <c r="N539" s="196">
        <v>3</v>
      </c>
      <c r="O539" s="196"/>
      <c r="P539" s="196"/>
      <c r="Q539" s="196"/>
      <c r="R539" s="196"/>
      <c r="S539" s="196"/>
      <c r="T539" s="196"/>
      <c r="U539" s="196"/>
      <c r="V539" s="196"/>
      <c r="W539" s="196"/>
      <c r="X539" s="196">
        <v>2</v>
      </c>
      <c r="Y539" s="196"/>
      <c r="Z539" s="196"/>
      <c r="AA539" s="196"/>
      <c r="AB539" s="196">
        <v>1</v>
      </c>
      <c r="AC539" s="196"/>
      <c r="AD539" s="196">
        <f>1+1+1</f>
        <v>3</v>
      </c>
      <c r="AE539" s="196">
        <v>1</v>
      </c>
      <c r="AF539" s="196"/>
      <c r="AG539" s="195">
        <f t="shared" si="17"/>
        <v>10</v>
      </c>
      <c r="AH539" s="187">
        <f>D539-AG539</f>
        <v>0</v>
      </c>
    </row>
    <row r="540" spans="1:34" ht="36" hidden="1" x14ac:dyDescent="0.55000000000000004">
      <c r="A540" s="127">
        <v>562</v>
      </c>
      <c r="B540" s="135" t="s">
        <v>1167</v>
      </c>
      <c r="C540" s="135" t="s">
        <v>1168</v>
      </c>
      <c r="D540" s="135">
        <v>15</v>
      </c>
      <c r="E540" s="196"/>
      <c r="F540" s="196">
        <v>2</v>
      </c>
      <c r="G540" s="196"/>
      <c r="H540" s="196"/>
      <c r="I540" s="196"/>
      <c r="J540" s="196">
        <v>1</v>
      </c>
      <c r="K540" s="196"/>
      <c r="L540" s="196"/>
      <c r="M540" s="196">
        <v>1</v>
      </c>
      <c r="N540" s="196">
        <v>2</v>
      </c>
      <c r="O540" s="196"/>
      <c r="P540" s="196"/>
      <c r="Q540" s="196"/>
      <c r="R540" s="196">
        <v>2</v>
      </c>
      <c r="S540" s="196"/>
      <c r="T540" s="196"/>
      <c r="U540" s="196"/>
      <c r="V540" s="196"/>
      <c r="W540" s="196">
        <v>2</v>
      </c>
      <c r="X540" s="196">
        <v>2</v>
      </c>
      <c r="Y540" s="196"/>
      <c r="Z540" s="196"/>
      <c r="AA540" s="196"/>
      <c r="AB540" s="196"/>
      <c r="AC540" s="196"/>
      <c r="AD540" s="196"/>
      <c r="AE540" s="196"/>
      <c r="AF540" s="196"/>
      <c r="AG540" s="195">
        <f t="shared" si="17"/>
        <v>12</v>
      </c>
      <c r="AH540" s="187">
        <f>D540-AG540</f>
        <v>3</v>
      </c>
    </row>
    <row r="541" spans="1:34" ht="36" hidden="1" x14ac:dyDescent="0.55000000000000004">
      <c r="A541" s="127">
        <v>563</v>
      </c>
      <c r="B541" s="135" t="s">
        <v>1169</v>
      </c>
      <c r="C541" s="135" t="s">
        <v>1170</v>
      </c>
      <c r="D541" s="135">
        <v>3</v>
      </c>
      <c r="E541" s="196"/>
      <c r="F541" s="196"/>
      <c r="G541" s="196"/>
      <c r="H541" s="196"/>
      <c r="I541" s="196"/>
      <c r="J541" s="196">
        <v>1</v>
      </c>
      <c r="K541" s="196"/>
      <c r="L541" s="196"/>
      <c r="M541" s="196">
        <v>1</v>
      </c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5">
        <f t="shared" si="17"/>
        <v>2</v>
      </c>
      <c r="AH541" s="187">
        <f>D541-AG541</f>
        <v>1</v>
      </c>
    </row>
    <row r="542" spans="1:34" ht="36" hidden="1" x14ac:dyDescent="0.55000000000000004">
      <c r="A542" s="127">
        <v>506</v>
      </c>
      <c r="B542" s="131" t="s">
        <v>1173</v>
      </c>
      <c r="C542" s="131" t="s">
        <v>1378</v>
      </c>
      <c r="D542" s="131">
        <v>233</v>
      </c>
      <c r="E542" s="196"/>
      <c r="F542" s="185"/>
      <c r="G542" s="185"/>
      <c r="H542" s="185"/>
      <c r="I542" s="185">
        <v>29</v>
      </c>
      <c r="J542" s="185"/>
      <c r="K542" s="185"/>
      <c r="L542" s="185"/>
      <c r="M542" s="185"/>
      <c r="N542" s="185">
        <v>12</v>
      </c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  <c r="AA542" s="185"/>
      <c r="AB542" s="185"/>
      <c r="AC542" s="185"/>
      <c r="AD542" s="185">
        <v>2</v>
      </c>
      <c r="AE542" s="185">
        <v>1</v>
      </c>
      <c r="AF542" s="185">
        <f>1+1</f>
        <v>2</v>
      </c>
      <c r="AG542" s="172">
        <f t="shared" si="17"/>
        <v>46</v>
      </c>
      <c r="AH542" s="173">
        <f>D542-AG542</f>
        <v>187</v>
      </c>
    </row>
    <row r="543" spans="1:34" ht="36" hidden="1" x14ac:dyDescent="0.55000000000000004">
      <c r="A543" s="127">
        <v>565</v>
      </c>
      <c r="B543" s="136" t="s">
        <v>1174</v>
      </c>
      <c r="C543" s="137" t="s">
        <v>1175</v>
      </c>
      <c r="D543" s="138">
        <v>240</v>
      </c>
      <c r="E543" s="185"/>
      <c r="F543" s="171"/>
      <c r="G543" s="171"/>
      <c r="H543" s="171"/>
      <c r="I543" s="171"/>
      <c r="J543" s="171">
        <v>18</v>
      </c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1"/>
      <c r="AD543" s="171"/>
      <c r="AE543" s="171"/>
      <c r="AF543" s="171">
        <v>6</v>
      </c>
      <c r="AG543" s="172">
        <f t="shared" ref="AG543:AG544" si="18">SUM(F543:AF543)</f>
        <v>24</v>
      </c>
      <c r="AH543" s="187">
        <f>D543-AG543</f>
        <v>216</v>
      </c>
    </row>
    <row r="544" spans="1:34" ht="36" hidden="1" x14ac:dyDescent="0.55000000000000004">
      <c r="A544" s="127">
        <v>566</v>
      </c>
      <c r="B544" s="139" t="s">
        <v>805</v>
      </c>
      <c r="C544" s="139" t="s">
        <v>806</v>
      </c>
      <c r="D544" s="139">
        <v>20</v>
      </c>
      <c r="E544" s="171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  <c r="AA544" s="185"/>
      <c r="AB544" s="185"/>
      <c r="AC544" s="185"/>
      <c r="AD544" s="185">
        <v>1</v>
      </c>
      <c r="AE544" s="185"/>
      <c r="AF544" s="185"/>
      <c r="AG544" s="172">
        <f t="shared" si="18"/>
        <v>1</v>
      </c>
      <c r="AH544" s="187">
        <f>D544-AG544</f>
        <v>19</v>
      </c>
    </row>
    <row r="545" spans="1:34" ht="36" hidden="1" x14ac:dyDescent="0.55000000000000004">
      <c r="A545" s="127">
        <v>567</v>
      </c>
      <c r="B545" s="147" t="s">
        <v>1177</v>
      </c>
      <c r="C545" s="148" t="s">
        <v>1178</v>
      </c>
      <c r="D545" s="149"/>
      <c r="E545" s="185"/>
      <c r="F545" s="171"/>
      <c r="G545" s="171"/>
      <c r="H545" s="171"/>
      <c r="I545" s="171"/>
      <c r="J545" s="171"/>
      <c r="K545" s="171"/>
      <c r="L545" s="171"/>
      <c r="M545" s="171">
        <v>2</v>
      </c>
      <c r="N545" s="171"/>
      <c r="O545" s="171"/>
      <c r="P545" s="171"/>
      <c r="Q545" s="171"/>
      <c r="R545" s="171">
        <v>2</v>
      </c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1"/>
      <c r="AD545" s="171"/>
      <c r="AE545" s="171"/>
      <c r="AF545" s="171">
        <v>1</v>
      </c>
      <c r="AG545" s="172"/>
      <c r="AH545" s="187">
        <f>D545-AG545</f>
        <v>0</v>
      </c>
    </row>
    <row r="546" spans="1:34" ht="36" hidden="1" x14ac:dyDescent="0.55000000000000004">
      <c r="A546" s="127">
        <v>568</v>
      </c>
      <c r="B546" s="142" t="s">
        <v>1180</v>
      </c>
      <c r="C546" s="142" t="s">
        <v>1181</v>
      </c>
      <c r="D546" s="142">
        <v>25</v>
      </c>
      <c r="E546" s="171"/>
      <c r="F546" s="171"/>
      <c r="G546" s="171"/>
      <c r="H546" s="171"/>
      <c r="I546" s="171"/>
      <c r="J546" s="171"/>
      <c r="K546" s="171"/>
      <c r="L546" s="171">
        <v>4</v>
      </c>
      <c r="M546" s="171">
        <v>5</v>
      </c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1"/>
      <c r="AD546" s="171"/>
      <c r="AE546" s="171"/>
      <c r="AF546" s="171"/>
      <c r="AG546" s="172">
        <f>SUM(F546:AF546)</f>
        <v>9</v>
      </c>
      <c r="AH546" s="187">
        <f>D546-AG546</f>
        <v>16</v>
      </c>
    </row>
    <row r="547" spans="1:34" ht="36" hidden="1" x14ac:dyDescent="0.55000000000000004">
      <c r="A547" s="127">
        <v>569</v>
      </c>
      <c r="B547" s="140" t="s">
        <v>1182</v>
      </c>
      <c r="C547" s="140" t="s">
        <v>1183</v>
      </c>
      <c r="D547" s="140">
        <v>8</v>
      </c>
      <c r="E547" s="171"/>
      <c r="F547" s="183">
        <v>1</v>
      </c>
      <c r="G547" s="183"/>
      <c r="H547" s="183"/>
      <c r="I547" s="183"/>
      <c r="J547" s="183"/>
      <c r="K547" s="183"/>
      <c r="L547" s="183"/>
      <c r="M547" s="183">
        <v>1</v>
      </c>
      <c r="N547" s="183">
        <f>1+1</f>
        <v>2</v>
      </c>
      <c r="O547" s="183"/>
      <c r="P547" s="183"/>
      <c r="Q547" s="183">
        <v>1</v>
      </c>
      <c r="R547" s="183">
        <v>1</v>
      </c>
      <c r="S547" s="183"/>
      <c r="T547" s="183"/>
      <c r="U547" s="183"/>
      <c r="V547" s="183"/>
      <c r="W547" s="183">
        <v>1</v>
      </c>
      <c r="X547" s="183">
        <v>1</v>
      </c>
      <c r="Y547" s="183"/>
      <c r="Z547" s="183"/>
      <c r="AA547" s="183"/>
      <c r="AB547" s="183"/>
      <c r="AC547" s="183"/>
      <c r="AD547" s="183"/>
      <c r="AE547" s="183"/>
      <c r="AF547" s="183"/>
      <c r="AG547" s="172">
        <f t="shared" ref="AG547:AG603" si="19">SUM(F547:AF547)</f>
        <v>8</v>
      </c>
      <c r="AH547" s="187">
        <f>D547-AG547</f>
        <v>0</v>
      </c>
    </row>
    <row r="548" spans="1:34" ht="36" hidden="1" x14ac:dyDescent="0.55000000000000004">
      <c r="A548" s="127">
        <v>570</v>
      </c>
      <c r="B548" s="140" t="s">
        <v>1184</v>
      </c>
      <c r="C548" s="140" t="s">
        <v>1183</v>
      </c>
      <c r="D548" s="140">
        <v>8</v>
      </c>
      <c r="E548" s="183"/>
      <c r="F548" s="183"/>
      <c r="G548" s="183"/>
      <c r="H548" s="183"/>
      <c r="I548" s="183"/>
      <c r="J548" s="183"/>
      <c r="K548" s="183"/>
      <c r="L548" s="183"/>
      <c r="M548" s="183">
        <v>1</v>
      </c>
      <c r="N548" s="183">
        <f>1+1</f>
        <v>2</v>
      </c>
      <c r="O548" s="183"/>
      <c r="P548" s="183"/>
      <c r="Q548" s="183">
        <v>1</v>
      </c>
      <c r="R548" s="183">
        <v>1</v>
      </c>
      <c r="S548" s="183"/>
      <c r="T548" s="183"/>
      <c r="U548" s="183"/>
      <c r="V548" s="183"/>
      <c r="W548" s="183">
        <v>1</v>
      </c>
      <c r="X548" s="183">
        <v>1</v>
      </c>
      <c r="Y548" s="183"/>
      <c r="Z548" s="183"/>
      <c r="AA548" s="183"/>
      <c r="AB548" s="183"/>
      <c r="AC548" s="183"/>
      <c r="AD548" s="183"/>
      <c r="AE548" s="183"/>
      <c r="AF548" s="183">
        <v>1</v>
      </c>
      <c r="AG548" s="172">
        <f t="shared" si="19"/>
        <v>8</v>
      </c>
      <c r="AH548" s="187">
        <f>D548-AG548</f>
        <v>0</v>
      </c>
    </row>
    <row r="549" spans="1:34" ht="36" hidden="1" x14ac:dyDescent="0.55000000000000004">
      <c r="A549" s="127">
        <v>571</v>
      </c>
      <c r="B549" s="140" t="s">
        <v>1185</v>
      </c>
      <c r="C549" s="140" t="s">
        <v>1183</v>
      </c>
      <c r="D549" s="140">
        <v>8</v>
      </c>
      <c r="E549" s="183"/>
      <c r="F549" s="183"/>
      <c r="G549" s="183">
        <v>1</v>
      </c>
      <c r="H549" s="183"/>
      <c r="I549" s="183"/>
      <c r="J549" s="183">
        <v>2</v>
      </c>
      <c r="K549" s="183"/>
      <c r="L549" s="183"/>
      <c r="M549" s="183">
        <v>1</v>
      </c>
      <c r="N549" s="183"/>
      <c r="O549" s="183"/>
      <c r="P549" s="183"/>
      <c r="Q549" s="183">
        <v>1</v>
      </c>
      <c r="R549" s="183">
        <v>1</v>
      </c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  <c r="AC549" s="183"/>
      <c r="AD549" s="183"/>
      <c r="AE549" s="183">
        <v>1</v>
      </c>
      <c r="AF549" s="183"/>
      <c r="AG549" s="172">
        <f t="shared" si="19"/>
        <v>7</v>
      </c>
      <c r="AH549" s="187">
        <f>D549-AG549</f>
        <v>1</v>
      </c>
    </row>
    <row r="550" spans="1:34" ht="36" hidden="1" x14ac:dyDescent="0.55000000000000004">
      <c r="A550" s="127">
        <v>572</v>
      </c>
      <c r="B550" s="140" t="s">
        <v>1186</v>
      </c>
      <c r="C550" s="140" t="s">
        <v>1183</v>
      </c>
      <c r="D550" s="140">
        <v>8</v>
      </c>
      <c r="E550" s="183"/>
      <c r="F550" s="183"/>
      <c r="G550" s="183"/>
      <c r="H550" s="183"/>
      <c r="I550" s="183"/>
      <c r="J550" s="183">
        <v>1</v>
      </c>
      <c r="K550" s="183"/>
      <c r="L550" s="183"/>
      <c r="M550" s="183"/>
      <c r="N550" s="183">
        <f>1+1</f>
        <v>2</v>
      </c>
      <c r="O550" s="183"/>
      <c r="P550" s="183"/>
      <c r="Q550" s="183">
        <f>1+1</f>
        <v>2</v>
      </c>
      <c r="R550" s="183">
        <v>1</v>
      </c>
      <c r="S550" s="183"/>
      <c r="T550" s="183"/>
      <c r="U550" s="183"/>
      <c r="V550" s="183"/>
      <c r="W550" s="183">
        <v>1</v>
      </c>
      <c r="X550" s="183">
        <v>1</v>
      </c>
      <c r="Y550" s="183"/>
      <c r="Z550" s="183"/>
      <c r="AA550" s="183"/>
      <c r="AB550" s="183"/>
      <c r="AC550" s="183"/>
      <c r="AD550" s="183"/>
      <c r="AE550" s="183"/>
      <c r="AF550" s="183"/>
      <c r="AG550" s="172">
        <f t="shared" si="19"/>
        <v>8</v>
      </c>
      <c r="AH550" s="187">
        <f>D550-AG550</f>
        <v>0</v>
      </c>
    </row>
    <row r="551" spans="1:34" ht="36" hidden="1" x14ac:dyDescent="0.55000000000000004">
      <c r="A551" s="127">
        <v>573</v>
      </c>
      <c r="B551" s="140" t="s">
        <v>1187</v>
      </c>
      <c r="C551" s="140" t="s">
        <v>1183</v>
      </c>
      <c r="D551" s="140">
        <v>8</v>
      </c>
      <c r="E551" s="183">
        <v>1</v>
      </c>
      <c r="F551" s="183">
        <v>2</v>
      </c>
      <c r="G551" s="183"/>
      <c r="H551" s="183"/>
      <c r="I551" s="183"/>
      <c r="J551" s="183"/>
      <c r="K551" s="183"/>
      <c r="L551" s="183"/>
      <c r="M551" s="183"/>
      <c r="N551" s="183">
        <f>1+1</f>
        <v>2</v>
      </c>
      <c r="O551" s="183"/>
      <c r="P551" s="183"/>
      <c r="Q551" s="183"/>
      <c r="R551" s="183">
        <v>1</v>
      </c>
      <c r="S551" s="183"/>
      <c r="T551" s="183"/>
      <c r="U551" s="183"/>
      <c r="V551" s="183"/>
      <c r="W551" s="183">
        <v>1</v>
      </c>
      <c r="X551" s="183">
        <v>1</v>
      </c>
      <c r="Y551" s="183"/>
      <c r="Z551" s="183"/>
      <c r="AA551" s="183"/>
      <c r="AB551" s="183"/>
      <c r="AC551" s="183"/>
      <c r="AD551" s="183"/>
      <c r="AE551" s="183"/>
      <c r="AF551" s="183"/>
      <c r="AG551" s="172">
        <f t="shared" si="19"/>
        <v>7</v>
      </c>
      <c r="AH551" s="187">
        <f>D551-AG551</f>
        <v>1</v>
      </c>
    </row>
    <row r="552" spans="1:34" ht="36" hidden="1" x14ac:dyDescent="0.55000000000000004">
      <c r="A552" s="127">
        <v>574</v>
      </c>
      <c r="B552" s="140" t="s">
        <v>1188</v>
      </c>
      <c r="C552" s="140" t="s">
        <v>1189</v>
      </c>
      <c r="D552" s="140">
        <v>10</v>
      </c>
      <c r="E552" s="183"/>
      <c r="F552" s="183"/>
      <c r="G552" s="183">
        <v>1</v>
      </c>
      <c r="H552" s="183"/>
      <c r="I552" s="183"/>
      <c r="J552" s="183">
        <v>1</v>
      </c>
      <c r="K552" s="183"/>
      <c r="L552" s="183"/>
      <c r="M552" s="183">
        <v>2</v>
      </c>
      <c r="N552" s="183">
        <v>2</v>
      </c>
      <c r="O552" s="183"/>
      <c r="P552" s="183"/>
      <c r="Q552" s="183"/>
      <c r="R552" s="183"/>
      <c r="S552" s="183">
        <v>1</v>
      </c>
      <c r="T552" s="183"/>
      <c r="U552" s="183"/>
      <c r="V552" s="183"/>
      <c r="W552" s="183">
        <f>2+2</f>
        <v>4</v>
      </c>
      <c r="X552" s="183">
        <v>1</v>
      </c>
      <c r="Y552" s="183"/>
      <c r="Z552" s="183"/>
      <c r="AA552" s="183"/>
      <c r="AB552" s="183"/>
      <c r="AC552" s="183"/>
      <c r="AD552" s="183"/>
      <c r="AE552" s="183"/>
      <c r="AF552" s="183"/>
      <c r="AG552" s="172">
        <f t="shared" si="19"/>
        <v>12</v>
      </c>
      <c r="AH552" s="187">
        <f>D552-AG552</f>
        <v>-2</v>
      </c>
    </row>
    <row r="553" spans="1:34" ht="36" hidden="1" x14ac:dyDescent="0.55000000000000004">
      <c r="A553" s="127">
        <v>575</v>
      </c>
      <c r="B553" s="140" t="s">
        <v>1190</v>
      </c>
      <c r="C553" s="140" t="s">
        <v>1191</v>
      </c>
      <c r="D553" s="140">
        <v>15</v>
      </c>
      <c r="E553" s="183"/>
      <c r="F553" s="183"/>
      <c r="G553" s="183">
        <v>1</v>
      </c>
      <c r="H553" s="183"/>
      <c r="I553" s="183"/>
      <c r="J553" s="183">
        <v>1</v>
      </c>
      <c r="K553" s="183"/>
      <c r="L553" s="183"/>
      <c r="M553" s="183">
        <v>2</v>
      </c>
      <c r="N553" s="183">
        <v>2</v>
      </c>
      <c r="O553" s="183"/>
      <c r="P553" s="183"/>
      <c r="Q553" s="183"/>
      <c r="R553" s="183">
        <v>2</v>
      </c>
      <c r="S553" s="183"/>
      <c r="T553" s="183"/>
      <c r="U553" s="183"/>
      <c r="V553" s="183"/>
      <c r="W553" s="183"/>
      <c r="X553" s="183">
        <f>2+1</f>
        <v>3</v>
      </c>
      <c r="Y553" s="183"/>
      <c r="Z553" s="183"/>
      <c r="AA553" s="183"/>
      <c r="AB553" s="183"/>
      <c r="AC553" s="183"/>
      <c r="AD553" s="183"/>
      <c r="AE553" s="183"/>
      <c r="AF553" s="183"/>
      <c r="AG553" s="172">
        <f t="shared" si="19"/>
        <v>11</v>
      </c>
      <c r="AH553" s="187">
        <f>D553-AG553</f>
        <v>4</v>
      </c>
    </row>
    <row r="554" spans="1:34" ht="36" hidden="1" x14ac:dyDescent="0.55000000000000004">
      <c r="A554" s="127">
        <v>576</v>
      </c>
      <c r="B554" s="140" t="s">
        <v>1192</v>
      </c>
      <c r="C554" s="140" t="s">
        <v>1193</v>
      </c>
      <c r="D554" s="140">
        <v>3</v>
      </c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>
        <f>1+1</f>
        <v>2</v>
      </c>
      <c r="X554" s="183"/>
      <c r="Y554" s="183"/>
      <c r="Z554" s="183"/>
      <c r="AA554" s="183"/>
      <c r="AB554" s="183"/>
      <c r="AC554" s="183"/>
      <c r="AD554" s="183"/>
      <c r="AE554" s="183"/>
      <c r="AF554" s="183"/>
      <c r="AG554" s="172">
        <f t="shared" si="19"/>
        <v>2</v>
      </c>
      <c r="AH554" s="187">
        <f>D554-AG554</f>
        <v>1</v>
      </c>
    </row>
    <row r="555" spans="1:34" ht="36" hidden="1" x14ac:dyDescent="0.55000000000000004">
      <c r="A555" s="127">
        <v>577</v>
      </c>
      <c r="B555" s="140" t="s">
        <v>1194</v>
      </c>
      <c r="C555" s="140" t="s">
        <v>1195</v>
      </c>
      <c r="D555" s="140">
        <v>3</v>
      </c>
      <c r="E555" s="183"/>
      <c r="F555" s="183"/>
      <c r="G555" s="183"/>
      <c r="H555" s="183"/>
      <c r="I555" s="183"/>
      <c r="J555" s="183"/>
      <c r="K555" s="183"/>
      <c r="L555" s="183"/>
      <c r="M555" s="183"/>
      <c r="N555" s="183">
        <v>1</v>
      </c>
      <c r="O555" s="183"/>
      <c r="P555" s="183"/>
      <c r="Q555" s="183"/>
      <c r="R555" s="183"/>
      <c r="S555" s="183"/>
      <c r="T555" s="183"/>
      <c r="U555" s="183"/>
      <c r="V555" s="183"/>
      <c r="W555" s="183">
        <v>1</v>
      </c>
      <c r="X555" s="183"/>
      <c r="Y555" s="183"/>
      <c r="Z555" s="183"/>
      <c r="AA555" s="183"/>
      <c r="AB555" s="183"/>
      <c r="AC555" s="183"/>
      <c r="AD555" s="183"/>
      <c r="AE555" s="183"/>
      <c r="AF555" s="183"/>
      <c r="AG555" s="172">
        <f t="shared" si="19"/>
        <v>2</v>
      </c>
      <c r="AH555" s="187">
        <f>D555-AG555</f>
        <v>1</v>
      </c>
    </row>
    <row r="556" spans="1:34" ht="36" hidden="1" x14ac:dyDescent="0.55000000000000004">
      <c r="A556" s="127">
        <v>578</v>
      </c>
      <c r="B556" s="140" t="s">
        <v>1196</v>
      </c>
      <c r="C556" s="140" t="s">
        <v>1197</v>
      </c>
      <c r="D556" s="140">
        <v>3</v>
      </c>
      <c r="E556" s="183"/>
      <c r="F556" s="183"/>
      <c r="G556" s="183"/>
      <c r="H556" s="183"/>
      <c r="I556" s="183"/>
      <c r="J556" s="183">
        <v>1</v>
      </c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>
        <v>1</v>
      </c>
      <c r="Y556" s="183"/>
      <c r="Z556" s="183"/>
      <c r="AA556" s="183"/>
      <c r="AB556" s="183"/>
      <c r="AC556" s="183"/>
      <c r="AD556" s="183"/>
      <c r="AE556" s="183"/>
      <c r="AF556" s="183"/>
      <c r="AG556" s="172">
        <f t="shared" si="19"/>
        <v>2</v>
      </c>
      <c r="AH556" s="187">
        <f>D556-AG556</f>
        <v>1</v>
      </c>
    </row>
    <row r="557" spans="1:34" ht="36" hidden="1" x14ac:dyDescent="0.55000000000000004">
      <c r="A557" s="127">
        <v>579</v>
      </c>
      <c r="B557" s="140" t="s">
        <v>1198</v>
      </c>
      <c r="C557" s="140" t="s">
        <v>1199</v>
      </c>
      <c r="D557" s="140">
        <v>3</v>
      </c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  <c r="AC557" s="183"/>
      <c r="AD557" s="183"/>
      <c r="AE557" s="183"/>
      <c r="AF557" s="183"/>
      <c r="AG557" s="172">
        <f t="shared" si="19"/>
        <v>0</v>
      </c>
      <c r="AH557" s="187">
        <f>D557-AG557</f>
        <v>3</v>
      </c>
    </row>
    <row r="558" spans="1:34" ht="36" hidden="1" x14ac:dyDescent="0.55000000000000004">
      <c r="A558" s="127">
        <v>580</v>
      </c>
      <c r="B558" s="140" t="s">
        <v>1200</v>
      </c>
      <c r="C558" s="140" t="s">
        <v>1201</v>
      </c>
      <c r="D558" s="140">
        <v>3</v>
      </c>
      <c r="E558" s="183"/>
      <c r="F558" s="183"/>
      <c r="G558" s="183"/>
      <c r="H558" s="183"/>
      <c r="I558" s="183"/>
      <c r="J558" s="183"/>
      <c r="K558" s="183"/>
      <c r="L558" s="183">
        <v>1</v>
      </c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  <c r="AC558" s="183"/>
      <c r="AD558" s="183"/>
      <c r="AE558" s="183"/>
      <c r="AF558" s="183"/>
      <c r="AG558" s="172">
        <f t="shared" si="19"/>
        <v>1</v>
      </c>
      <c r="AH558" s="187">
        <f>D558-AG558</f>
        <v>2</v>
      </c>
    </row>
    <row r="559" spans="1:34" ht="36" hidden="1" x14ac:dyDescent="0.55000000000000004">
      <c r="A559" s="127">
        <v>581</v>
      </c>
      <c r="B559" s="140" t="s">
        <v>1202</v>
      </c>
      <c r="C559" s="140" t="s">
        <v>1203</v>
      </c>
      <c r="D559" s="140">
        <v>3</v>
      </c>
      <c r="E559" s="183"/>
      <c r="F559" s="183"/>
      <c r="G559" s="183"/>
      <c r="H559" s="183"/>
      <c r="I559" s="183"/>
      <c r="J559" s="183">
        <v>1</v>
      </c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>
        <v>1</v>
      </c>
      <c r="X559" s="183"/>
      <c r="Y559" s="183"/>
      <c r="Z559" s="183"/>
      <c r="AA559" s="183"/>
      <c r="AB559" s="183"/>
      <c r="AC559" s="183"/>
      <c r="AD559" s="183"/>
      <c r="AE559" s="183"/>
      <c r="AF559" s="183"/>
      <c r="AG559" s="172">
        <f t="shared" si="19"/>
        <v>2</v>
      </c>
      <c r="AH559" s="187">
        <f>D559-AG559</f>
        <v>1</v>
      </c>
    </row>
    <row r="560" spans="1:34" ht="36" hidden="1" x14ac:dyDescent="0.55000000000000004">
      <c r="A560" s="127">
        <v>582</v>
      </c>
      <c r="B560" s="140" t="s">
        <v>1204</v>
      </c>
      <c r="C560" s="140" t="s">
        <v>1205</v>
      </c>
      <c r="D560" s="140">
        <v>3</v>
      </c>
      <c r="E560" s="183"/>
      <c r="F560" s="183"/>
      <c r="G560" s="183"/>
      <c r="H560" s="183"/>
      <c r="I560" s="183"/>
      <c r="J560" s="183">
        <v>1</v>
      </c>
      <c r="K560" s="183"/>
      <c r="L560" s="183"/>
      <c r="M560" s="183"/>
      <c r="N560" s="183">
        <v>1</v>
      </c>
      <c r="O560" s="183"/>
      <c r="P560" s="183"/>
      <c r="Q560" s="183"/>
      <c r="R560" s="183"/>
      <c r="S560" s="183"/>
      <c r="T560" s="183"/>
      <c r="U560" s="183"/>
      <c r="V560" s="183"/>
      <c r="W560" s="183"/>
      <c r="X560" s="183">
        <v>1</v>
      </c>
      <c r="Y560" s="183"/>
      <c r="Z560" s="183"/>
      <c r="AA560" s="183"/>
      <c r="AB560" s="183"/>
      <c r="AC560" s="183"/>
      <c r="AD560" s="183"/>
      <c r="AE560" s="183"/>
      <c r="AF560" s="183"/>
      <c r="AG560" s="172">
        <f t="shared" si="19"/>
        <v>3</v>
      </c>
      <c r="AH560" s="187">
        <f>D560-AG560</f>
        <v>0</v>
      </c>
    </row>
    <row r="561" spans="1:34" ht="36" hidden="1" x14ac:dyDescent="0.55000000000000004">
      <c r="A561" s="127">
        <v>583</v>
      </c>
      <c r="B561" s="140" t="s">
        <v>1206</v>
      </c>
      <c r="C561" s="140" t="s">
        <v>1207</v>
      </c>
      <c r="D561" s="140">
        <v>3</v>
      </c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>
        <v>1</v>
      </c>
      <c r="Y561" s="183"/>
      <c r="Z561" s="183"/>
      <c r="AA561" s="183"/>
      <c r="AB561" s="183"/>
      <c r="AC561" s="183"/>
      <c r="AD561" s="183"/>
      <c r="AE561" s="183"/>
      <c r="AF561" s="183"/>
      <c r="AG561" s="172">
        <f t="shared" si="19"/>
        <v>1</v>
      </c>
      <c r="AH561" s="187">
        <f>D561-AG561</f>
        <v>2</v>
      </c>
    </row>
    <row r="562" spans="1:34" ht="36" hidden="1" x14ac:dyDescent="0.55000000000000004">
      <c r="A562" s="127">
        <v>584</v>
      </c>
      <c r="B562" s="140" t="s">
        <v>1208</v>
      </c>
      <c r="C562" s="140" t="s">
        <v>1209</v>
      </c>
      <c r="D562" s="140">
        <v>6</v>
      </c>
      <c r="E562" s="183"/>
      <c r="F562" s="183"/>
      <c r="G562" s="183"/>
      <c r="H562" s="183"/>
      <c r="I562" s="183"/>
      <c r="J562" s="183">
        <v>1</v>
      </c>
      <c r="K562" s="183"/>
      <c r="L562" s="183"/>
      <c r="M562" s="183"/>
      <c r="N562" s="183">
        <f>1+1</f>
        <v>2</v>
      </c>
      <c r="O562" s="183"/>
      <c r="P562" s="183"/>
      <c r="Q562" s="183"/>
      <c r="R562" s="183">
        <v>1</v>
      </c>
      <c r="S562" s="183"/>
      <c r="T562" s="183"/>
      <c r="U562" s="183"/>
      <c r="V562" s="183"/>
      <c r="W562" s="183">
        <v>1</v>
      </c>
      <c r="X562" s="183">
        <v>1</v>
      </c>
      <c r="Y562" s="183"/>
      <c r="Z562" s="183"/>
      <c r="AA562" s="183"/>
      <c r="AB562" s="183"/>
      <c r="AC562" s="183"/>
      <c r="AD562" s="183"/>
      <c r="AE562" s="183"/>
      <c r="AF562" s="183"/>
      <c r="AG562" s="172">
        <f t="shared" si="19"/>
        <v>6</v>
      </c>
      <c r="AH562" s="187">
        <f>D562-AG562</f>
        <v>0</v>
      </c>
    </row>
    <row r="563" spans="1:34" ht="36" hidden="1" x14ac:dyDescent="0.55000000000000004">
      <c r="A563" s="127">
        <v>585</v>
      </c>
      <c r="B563" s="140" t="s">
        <v>1210</v>
      </c>
      <c r="C563" s="140" t="s">
        <v>1209</v>
      </c>
      <c r="D563" s="140">
        <v>6</v>
      </c>
      <c r="E563" s="183"/>
      <c r="F563" s="183"/>
      <c r="G563" s="183"/>
      <c r="H563" s="183"/>
      <c r="I563" s="183"/>
      <c r="J563" s="183">
        <v>1</v>
      </c>
      <c r="K563" s="183"/>
      <c r="L563" s="183"/>
      <c r="M563" s="183"/>
      <c r="N563" s="183">
        <f>1+1</f>
        <v>2</v>
      </c>
      <c r="O563" s="183"/>
      <c r="P563" s="183"/>
      <c r="Q563" s="183"/>
      <c r="R563" s="183">
        <v>1</v>
      </c>
      <c r="S563" s="183"/>
      <c r="T563" s="183"/>
      <c r="U563" s="183"/>
      <c r="V563" s="183"/>
      <c r="W563" s="183">
        <v>1</v>
      </c>
      <c r="X563" s="183">
        <v>1</v>
      </c>
      <c r="Y563" s="183"/>
      <c r="Z563" s="183"/>
      <c r="AA563" s="183"/>
      <c r="AB563" s="183"/>
      <c r="AC563" s="183"/>
      <c r="AD563" s="183"/>
      <c r="AE563" s="183"/>
      <c r="AF563" s="183"/>
      <c r="AG563" s="172">
        <f t="shared" si="19"/>
        <v>6</v>
      </c>
      <c r="AH563" s="187">
        <f>D563-AG563</f>
        <v>0</v>
      </c>
    </row>
    <row r="564" spans="1:34" ht="36" hidden="1" x14ac:dyDescent="0.55000000000000004">
      <c r="A564" s="127">
        <v>586</v>
      </c>
      <c r="B564" s="140" t="s">
        <v>1211</v>
      </c>
      <c r="C564" s="140" t="s">
        <v>1209</v>
      </c>
      <c r="D564" s="140">
        <v>6</v>
      </c>
      <c r="E564" s="183">
        <v>1</v>
      </c>
      <c r="F564" s="183"/>
      <c r="G564" s="183"/>
      <c r="H564" s="183"/>
      <c r="I564" s="183"/>
      <c r="J564" s="183">
        <v>1</v>
      </c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>
        <v>1</v>
      </c>
      <c r="X564" s="183">
        <v>1</v>
      </c>
      <c r="Y564" s="183"/>
      <c r="Z564" s="183"/>
      <c r="AA564" s="183"/>
      <c r="AB564" s="183"/>
      <c r="AC564" s="183"/>
      <c r="AD564" s="183"/>
      <c r="AE564" s="183"/>
      <c r="AF564" s="183"/>
      <c r="AG564" s="172">
        <f t="shared" si="19"/>
        <v>3</v>
      </c>
      <c r="AH564" s="187">
        <f>D564-AG564</f>
        <v>3</v>
      </c>
    </row>
    <row r="565" spans="1:34" ht="36" hidden="1" x14ac:dyDescent="0.55000000000000004">
      <c r="A565" s="127">
        <v>587</v>
      </c>
      <c r="B565" s="140" t="s">
        <v>1212</v>
      </c>
      <c r="C565" s="140" t="s">
        <v>1209</v>
      </c>
      <c r="D565" s="140">
        <v>6</v>
      </c>
      <c r="E565" s="183"/>
      <c r="F565" s="183"/>
      <c r="G565" s="183"/>
      <c r="H565" s="183"/>
      <c r="I565" s="183"/>
      <c r="J565" s="183">
        <v>1</v>
      </c>
      <c r="K565" s="183"/>
      <c r="L565" s="183"/>
      <c r="M565" s="183"/>
      <c r="N565" s="183">
        <f>1+1</f>
        <v>2</v>
      </c>
      <c r="O565" s="183"/>
      <c r="P565" s="183"/>
      <c r="Q565" s="183"/>
      <c r="R565" s="183">
        <v>1</v>
      </c>
      <c r="S565" s="183"/>
      <c r="T565" s="183"/>
      <c r="U565" s="183"/>
      <c r="V565" s="183"/>
      <c r="W565" s="183">
        <v>1</v>
      </c>
      <c r="X565" s="183">
        <v>1</v>
      </c>
      <c r="Y565" s="183"/>
      <c r="Z565" s="183"/>
      <c r="AA565" s="183"/>
      <c r="AB565" s="183"/>
      <c r="AC565" s="183"/>
      <c r="AD565" s="183"/>
      <c r="AE565" s="183"/>
      <c r="AF565" s="183"/>
      <c r="AG565" s="172">
        <f t="shared" si="19"/>
        <v>6</v>
      </c>
      <c r="AH565" s="187">
        <f>D565-AG565</f>
        <v>0</v>
      </c>
    </row>
    <row r="566" spans="1:34" ht="36" hidden="1" x14ac:dyDescent="0.55000000000000004">
      <c r="A566" s="127">
        <v>588</v>
      </c>
      <c r="B566" s="140" t="s">
        <v>1213</v>
      </c>
      <c r="C566" s="140" t="s">
        <v>1209</v>
      </c>
      <c r="D566" s="140">
        <v>1</v>
      </c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  <c r="AC566" s="183"/>
      <c r="AD566" s="183"/>
      <c r="AE566" s="183"/>
      <c r="AF566" s="183"/>
      <c r="AG566" s="172">
        <f t="shared" si="19"/>
        <v>0</v>
      </c>
      <c r="AH566" s="187">
        <f>D566-AG566</f>
        <v>1</v>
      </c>
    </row>
    <row r="567" spans="1:34" ht="36" hidden="1" x14ac:dyDescent="0.55000000000000004">
      <c r="A567" s="127">
        <v>589</v>
      </c>
      <c r="B567" s="140" t="s">
        <v>1214</v>
      </c>
      <c r="C567" s="140" t="s">
        <v>1215</v>
      </c>
      <c r="D567" s="140">
        <v>100</v>
      </c>
      <c r="E567" s="183"/>
      <c r="F567" s="183"/>
      <c r="G567" s="183"/>
      <c r="H567" s="183"/>
      <c r="I567" s="183"/>
      <c r="J567" s="183">
        <f>10+10</f>
        <v>20</v>
      </c>
      <c r="K567" s="183"/>
      <c r="L567" s="183"/>
      <c r="M567" s="183">
        <v>10</v>
      </c>
      <c r="N567" s="183">
        <v>10</v>
      </c>
      <c r="O567" s="183"/>
      <c r="P567" s="183"/>
      <c r="Q567" s="183"/>
      <c r="R567" s="183"/>
      <c r="S567" s="183"/>
      <c r="T567" s="183"/>
      <c r="U567" s="183"/>
      <c r="V567" s="183"/>
      <c r="W567" s="183">
        <v>10</v>
      </c>
      <c r="X567" s="183">
        <v>10</v>
      </c>
      <c r="Y567" s="183"/>
      <c r="Z567" s="183"/>
      <c r="AA567" s="183"/>
      <c r="AB567" s="183"/>
      <c r="AC567" s="183"/>
      <c r="AD567" s="183"/>
      <c r="AE567" s="183"/>
      <c r="AF567" s="183"/>
      <c r="AG567" s="172">
        <f t="shared" si="19"/>
        <v>60</v>
      </c>
      <c r="AH567" s="187">
        <f>D567-AG567</f>
        <v>40</v>
      </c>
    </row>
    <row r="568" spans="1:34" ht="36" hidden="1" x14ac:dyDescent="0.55000000000000004">
      <c r="A568" s="127">
        <v>590</v>
      </c>
      <c r="B568" s="140" t="s">
        <v>1216</v>
      </c>
      <c r="C568" s="140" t="s">
        <v>1217</v>
      </c>
      <c r="D568" s="140">
        <v>1</v>
      </c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  <c r="AC568" s="183"/>
      <c r="AD568" s="183"/>
      <c r="AE568" s="183"/>
      <c r="AF568" s="183"/>
      <c r="AG568" s="172">
        <f t="shared" si="19"/>
        <v>0</v>
      </c>
      <c r="AH568" s="187">
        <f>D568-AG568</f>
        <v>1</v>
      </c>
    </row>
    <row r="569" spans="1:34" ht="36" hidden="1" x14ac:dyDescent="0.55000000000000004">
      <c r="A569" s="127">
        <v>591</v>
      </c>
      <c r="B569" s="140" t="s">
        <v>1218</v>
      </c>
      <c r="C569" s="140" t="s">
        <v>1219</v>
      </c>
      <c r="D569" s="140">
        <v>200</v>
      </c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  <c r="AC569" s="183"/>
      <c r="AD569" s="183"/>
      <c r="AE569" s="183"/>
      <c r="AF569" s="183"/>
      <c r="AG569" s="172">
        <f t="shared" si="19"/>
        <v>0</v>
      </c>
      <c r="AH569" s="187">
        <f>D569-AG569</f>
        <v>200</v>
      </c>
    </row>
    <row r="570" spans="1:34" ht="36" hidden="1" x14ac:dyDescent="0.55000000000000004">
      <c r="A570" s="127">
        <v>592</v>
      </c>
      <c r="B570" s="140" t="s">
        <v>1220</v>
      </c>
      <c r="C570" s="140" t="s">
        <v>1221</v>
      </c>
      <c r="D570" s="140">
        <v>70</v>
      </c>
      <c r="E570" s="183"/>
      <c r="F570" s="183"/>
      <c r="G570" s="183">
        <v>1</v>
      </c>
      <c r="H570" s="183"/>
      <c r="I570" s="183"/>
      <c r="J570" s="183">
        <f>5+10</f>
        <v>15</v>
      </c>
      <c r="K570" s="183"/>
      <c r="L570" s="183"/>
      <c r="M570" s="183">
        <v>5</v>
      </c>
      <c r="N570" s="183">
        <v>5</v>
      </c>
      <c r="O570" s="183"/>
      <c r="P570" s="183"/>
      <c r="Q570" s="183"/>
      <c r="R570" s="183"/>
      <c r="S570" s="183"/>
      <c r="T570" s="183"/>
      <c r="U570" s="183"/>
      <c r="V570" s="183"/>
      <c r="W570" s="183"/>
      <c r="X570" s="183">
        <v>5</v>
      </c>
      <c r="Y570" s="183">
        <v>1</v>
      </c>
      <c r="Z570" s="183"/>
      <c r="AA570" s="183"/>
      <c r="AB570" s="183"/>
      <c r="AC570" s="183"/>
      <c r="AD570" s="183"/>
      <c r="AE570" s="183"/>
      <c r="AF570" s="183"/>
      <c r="AG570" s="172">
        <f t="shared" si="19"/>
        <v>32</v>
      </c>
      <c r="AH570" s="187">
        <f>D570-AG570</f>
        <v>38</v>
      </c>
    </row>
    <row r="571" spans="1:34" ht="36" hidden="1" x14ac:dyDescent="0.55000000000000004">
      <c r="A571" s="127">
        <v>593</v>
      </c>
      <c r="B571" s="140" t="s">
        <v>1222</v>
      </c>
      <c r="C571" s="140" t="s">
        <v>1223</v>
      </c>
      <c r="D571" s="140">
        <v>60</v>
      </c>
      <c r="E571" s="183"/>
      <c r="F571" s="183"/>
      <c r="G571" s="183">
        <v>1</v>
      </c>
      <c r="H571" s="183"/>
      <c r="I571" s="183"/>
      <c r="J571" s="183">
        <f>5+10</f>
        <v>15</v>
      </c>
      <c r="K571" s="183"/>
      <c r="L571" s="183"/>
      <c r="M571" s="183"/>
      <c r="N571" s="183">
        <v>5</v>
      </c>
      <c r="O571" s="183"/>
      <c r="P571" s="183"/>
      <c r="Q571" s="183"/>
      <c r="R571" s="183"/>
      <c r="S571" s="183"/>
      <c r="T571" s="183"/>
      <c r="U571" s="183"/>
      <c r="V571" s="183"/>
      <c r="W571" s="183">
        <v>5</v>
      </c>
      <c r="X571" s="183">
        <v>5</v>
      </c>
      <c r="Y571" s="183"/>
      <c r="Z571" s="183"/>
      <c r="AA571" s="183"/>
      <c r="AB571" s="183"/>
      <c r="AC571" s="183"/>
      <c r="AD571" s="183"/>
      <c r="AE571" s="183"/>
      <c r="AF571" s="183"/>
      <c r="AG571" s="172">
        <f t="shared" si="19"/>
        <v>31</v>
      </c>
      <c r="AH571" s="187">
        <f>D571-AG571</f>
        <v>29</v>
      </c>
    </row>
    <row r="572" spans="1:34" ht="36" hidden="1" x14ac:dyDescent="0.55000000000000004">
      <c r="A572" s="127">
        <v>594</v>
      </c>
      <c r="B572" s="140" t="s">
        <v>1224</v>
      </c>
      <c r="C572" s="140" t="s">
        <v>1225</v>
      </c>
      <c r="D572" s="140">
        <v>32</v>
      </c>
      <c r="E572" s="183"/>
      <c r="F572" s="183"/>
      <c r="G572" s="183"/>
      <c r="H572" s="183"/>
      <c r="I572" s="183"/>
      <c r="J572" s="183">
        <v>5</v>
      </c>
      <c r="K572" s="183"/>
      <c r="L572" s="183"/>
      <c r="M572" s="183">
        <v>5</v>
      </c>
      <c r="N572" s="183">
        <v>5</v>
      </c>
      <c r="O572" s="183"/>
      <c r="P572" s="183"/>
      <c r="Q572" s="183"/>
      <c r="R572" s="183"/>
      <c r="S572" s="183"/>
      <c r="T572" s="183"/>
      <c r="U572" s="183"/>
      <c r="V572" s="183"/>
      <c r="W572" s="183">
        <v>5</v>
      </c>
      <c r="X572" s="183">
        <v>5</v>
      </c>
      <c r="Y572" s="183"/>
      <c r="Z572" s="183"/>
      <c r="AA572" s="183"/>
      <c r="AB572" s="183"/>
      <c r="AC572" s="183"/>
      <c r="AD572" s="183"/>
      <c r="AE572" s="183"/>
      <c r="AF572" s="183"/>
      <c r="AG572" s="172">
        <f t="shared" si="19"/>
        <v>25</v>
      </c>
      <c r="AH572" s="187">
        <f>D572-AG572</f>
        <v>7</v>
      </c>
    </row>
    <row r="573" spans="1:34" ht="36" hidden="1" x14ac:dyDescent="0.55000000000000004">
      <c r="A573" s="127">
        <v>595</v>
      </c>
      <c r="B573" s="140" t="s">
        <v>1226</v>
      </c>
      <c r="C573" s="140" t="s">
        <v>1227</v>
      </c>
      <c r="D573" s="140">
        <v>20</v>
      </c>
      <c r="E573" s="183"/>
      <c r="F573" s="183"/>
      <c r="G573" s="183">
        <v>1</v>
      </c>
      <c r="H573" s="183"/>
      <c r="I573" s="183"/>
      <c r="J573" s="183">
        <f>5+4</f>
        <v>9</v>
      </c>
      <c r="K573" s="183"/>
      <c r="L573" s="183"/>
      <c r="M573" s="183">
        <v>1</v>
      </c>
      <c r="N573" s="183">
        <v>3</v>
      </c>
      <c r="O573" s="183"/>
      <c r="P573" s="183"/>
      <c r="Q573" s="183"/>
      <c r="R573" s="183"/>
      <c r="S573" s="183"/>
      <c r="T573" s="183"/>
      <c r="U573" s="183"/>
      <c r="V573" s="183"/>
      <c r="W573" s="183">
        <v>3</v>
      </c>
      <c r="X573" s="183">
        <v>3</v>
      </c>
      <c r="Y573" s="183"/>
      <c r="Z573" s="183"/>
      <c r="AA573" s="183"/>
      <c r="AB573" s="183"/>
      <c r="AC573" s="183"/>
      <c r="AD573" s="183"/>
      <c r="AE573" s="183"/>
      <c r="AF573" s="183"/>
      <c r="AG573" s="172">
        <f t="shared" si="19"/>
        <v>20</v>
      </c>
      <c r="AH573" s="187">
        <f>D573-AG573</f>
        <v>0</v>
      </c>
    </row>
    <row r="574" spans="1:34" ht="36" hidden="1" x14ac:dyDescent="0.55000000000000004">
      <c r="A574" s="127">
        <v>596</v>
      </c>
      <c r="B574" s="140" t="s">
        <v>1228</v>
      </c>
      <c r="C574" s="140" t="s">
        <v>1229</v>
      </c>
      <c r="D574" s="140">
        <v>20</v>
      </c>
      <c r="E574" s="183"/>
      <c r="F574" s="183"/>
      <c r="G574" s="183">
        <v>1</v>
      </c>
      <c r="H574" s="183"/>
      <c r="I574" s="183"/>
      <c r="J574" s="183">
        <v>2</v>
      </c>
      <c r="K574" s="183"/>
      <c r="L574" s="183"/>
      <c r="M574" s="183"/>
      <c r="N574" s="183">
        <v>2</v>
      </c>
      <c r="O574" s="183"/>
      <c r="P574" s="183"/>
      <c r="Q574" s="183"/>
      <c r="R574" s="183">
        <v>2</v>
      </c>
      <c r="S574" s="183"/>
      <c r="T574" s="183"/>
      <c r="U574" s="183"/>
      <c r="V574" s="183"/>
      <c r="W574" s="183">
        <v>2</v>
      </c>
      <c r="X574" s="183">
        <v>2</v>
      </c>
      <c r="Y574" s="183"/>
      <c r="Z574" s="183"/>
      <c r="AA574" s="183"/>
      <c r="AB574" s="183"/>
      <c r="AC574" s="183"/>
      <c r="AD574" s="183"/>
      <c r="AE574" s="183"/>
      <c r="AF574" s="183"/>
      <c r="AG574" s="172">
        <f t="shared" si="19"/>
        <v>11</v>
      </c>
      <c r="AH574" s="187">
        <f>D574-AG574</f>
        <v>9</v>
      </c>
    </row>
    <row r="575" spans="1:34" ht="36" hidden="1" x14ac:dyDescent="0.55000000000000004">
      <c r="A575" s="127">
        <v>597</v>
      </c>
      <c r="B575" s="140" t="s">
        <v>1230</v>
      </c>
      <c r="C575" s="140" t="s">
        <v>1231</v>
      </c>
      <c r="D575" s="140">
        <v>20</v>
      </c>
      <c r="E575" s="183"/>
      <c r="F575" s="183"/>
      <c r="G575" s="183"/>
      <c r="H575" s="183"/>
      <c r="I575" s="183"/>
      <c r="J575" s="183">
        <v>2</v>
      </c>
      <c r="K575" s="183"/>
      <c r="L575" s="183"/>
      <c r="M575" s="183"/>
      <c r="N575" s="183">
        <v>2</v>
      </c>
      <c r="O575" s="183"/>
      <c r="P575" s="183"/>
      <c r="Q575" s="183"/>
      <c r="R575" s="183">
        <v>1</v>
      </c>
      <c r="S575" s="183"/>
      <c r="T575" s="183"/>
      <c r="U575" s="183"/>
      <c r="V575" s="183"/>
      <c r="W575" s="183">
        <v>2</v>
      </c>
      <c r="X575" s="183">
        <v>2</v>
      </c>
      <c r="Y575" s="183"/>
      <c r="Z575" s="183"/>
      <c r="AA575" s="183"/>
      <c r="AB575" s="183"/>
      <c r="AC575" s="183"/>
      <c r="AD575" s="183"/>
      <c r="AE575" s="183"/>
      <c r="AF575" s="183"/>
      <c r="AG575" s="172">
        <f t="shared" si="19"/>
        <v>9</v>
      </c>
      <c r="AH575" s="187">
        <f>D575-AG575</f>
        <v>11</v>
      </c>
    </row>
    <row r="576" spans="1:34" ht="36" hidden="1" x14ac:dyDescent="0.55000000000000004">
      <c r="A576" s="127">
        <v>598</v>
      </c>
      <c r="B576" s="140" t="s">
        <v>1232</v>
      </c>
      <c r="C576" s="140" t="s">
        <v>1233</v>
      </c>
      <c r="D576" s="140">
        <v>40</v>
      </c>
      <c r="E576" s="183"/>
      <c r="F576" s="183">
        <v>1</v>
      </c>
      <c r="G576" s="183"/>
      <c r="H576" s="183"/>
      <c r="I576" s="183"/>
      <c r="J576" s="183">
        <v>4</v>
      </c>
      <c r="K576" s="183"/>
      <c r="L576" s="183">
        <v>4</v>
      </c>
      <c r="M576" s="183">
        <v>4</v>
      </c>
      <c r="N576" s="183">
        <v>4</v>
      </c>
      <c r="O576" s="183"/>
      <c r="P576" s="183"/>
      <c r="Q576" s="183">
        <v>4</v>
      </c>
      <c r="R576" s="183"/>
      <c r="S576" s="183"/>
      <c r="T576" s="183"/>
      <c r="U576" s="183"/>
      <c r="V576" s="183"/>
      <c r="W576" s="183">
        <v>4</v>
      </c>
      <c r="X576" s="183">
        <v>4</v>
      </c>
      <c r="Y576" s="183"/>
      <c r="Z576" s="183"/>
      <c r="AA576" s="183"/>
      <c r="AB576" s="183"/>
      <c r="AC576" s="183"/>
      <c r="AD576" s="183"/>
      <c r="AE576" s="183"/>
      <c r="AF576" s="183"/>
      <c r="AG576" s="172">
        <f t="shared" si="19"/>
        <v>29</v>
      </c>
      <c r="AH576" s="187">
        <f>D576-AG576</f>
        <v>11</v>
      </c>
    </row>
    <row r="577" spans="1:34" ht="36" hidden="1" x14ac:dyDescent="0.55000000000000004">
      <c r="A577" s="127">
        <v>599</v>
      </c>
      <c r="B577" s="140" t="s">
        <v>1234</v>
      </c>
      <c r="C577" s="140" t="s">
        <v>1235</v>
      </c>
      <c r="D577" s="140">
        <v>10</v>
      </c>
      <c r="E577" s="183"/>
      <c r="F577" s="183">
        <v>1</v>
      </c>
      <c r="G577" s="183"/>
      <c r="H577" s="183"/>
      <c r="I577" s="183"/>
      <c r="J577" s="183"/>
      <c r="K577" s="183"/>
      <c r="L577" s="183"/>
      <c r="M577" s="183">
        <f>2+2</f>
        <v>4</v>
      </c>
      <c r="N577" s="183"/>
      <c r="O577" s="183"/>
      <c r="P577" s="183"/>
      <c r="Q577" s="183">
        <v>2</v>
      </c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  <c r="AC577" s="183"/>
      <c r="AD577" s="183"/>
      <c r="AE577" s="183"/>
      <c r="AF577" s="183"/>
      <c r="AG577" s="172">
        <f t="shared" si="19"/>
        <v>7</v>
      </c>
      <c r="AH577" s="187">
        <f>D577-AG577</f>
        <v>3</v>
      </c>
    </row>
    <row r="578" spans="1:34" ht="36" hidden="1" x14ac:dyDescent="0.55000000000000004">
      <c r="A578" s="127">
        <v>600</v>
      </c>
      <c r="B578" s="140" t="s">
        <v>1236</v>
      </c>
      <c r="C578" s="140" t="s">
        <v>1237</v>
      </c>
      <c r="D578" s="140">
        <v>10</v>
      </c>
      <c r="E578" s="183"/>
      <c r="F578" s="183">
        <v>2</v>
      </c>
      <c r="G578" s="183"/>
      <c r="H578" s="183"/>
      <c r="I578" s="183"/>
      <c r="J578" s="183"/>
      <c r="K578" s="183"/>
      <c r="L578" s="183"/>
      <c r="M578" s="183">
        <f>2+2</f>
        <v>4</v>
      </c>
      <c r="N578" s="183"/>
      <c r="O578" s="183"/>
      <c r="P578" s="183"/>
      <c r="Q578" s="183">
        <v>2</v>
      </c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  <c r="AB578" s="183"/>
      <c r="AC578" s="183"/>
      <c r="AD578" s="183"/>
      <c r="AE578" s="183"/>
      <c r="AF578" s="183"/>
      <c r="AG578" s="172">
        <f t="shared" si="19"/>
        <v>8</v>
      </c>
      <c r="AH578" s="187">
        <f>D578-AG578</f>
        <v>2</v>
      </c>
    </row>
    <row r="579" spans="1:34" ht="36" hidden="1" x14ac:dyDescent="0.55000000000000004">
      <c r="A579" s="127">
        <v>601</v>
      </c>
      <c r="B579" s="140" t="s">
        <v>1238</v>
      </c>
      <c r="C579" s="140" t="s">
        <v>1239</v>
      </c>
      <c r="D579" s="140">
        <v>10</v>
      </c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  <c r="AB579" s="183"/>
      <c r="AC579" s="183"/>
      <c r="AD579" s="183"/>
      <c r="AE579" s="183"/>
      <c r="AF579" s="183"/>
      <c r="AG579" s="172">
        <f t="shared" si="19"/>
        <v>0</v>
      </c>
      <c r="AH579" s="187">
        <f>D579-AG579</f>
        <v>10</v>
      </c>
    </row>
    <row r="580" spans="1:34" ht="36" hidden="1" x14ac:dyDescent="0.55000000000000004">
      <c r="A580" s="127">
        <v>602</v>
      </c>
      <c r="B580" s="140" t="s">
        <v>1240</v>
      </c>
      <c r="C580" s="140" t="s">
        <v>1241</v>
      </c>
      <c r="D580" s="140">
        <v>10</v>
      </c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  <c r="AB580" s="183"/>
      <c r="AC580" s="183"/>
      <c r="AD580" s="183"/>
      <c r="AE580" s="183"/>
      <c r="AF580" s="183"/>
      <c r="AG580" s="172">
        <f t="shared" si="19"/>
        <v>0</v>
      </c>
      <c r="AH580" s="187">
        <f>D580-AG580</f>
        <v>10</v>
      </c>
    </row>
    <row r="581" spans="1:34" ht="36" hidden="1" x14ac:dyDescent="0.55000000000000004">
      <c r="A581" s="127">
        <v>603</v>
      </c>
      <c r="B581" s="140" t="s">
        <v>1242</v>
      </c>
      <c r="C581" s="140" t="s">
        <v>1243</v>
      </c>
      <c r="D581" s="140">
        <v>60</v>
      </c>
      <c r="E581" s="183">
        <v>1</v>
      </c>
      <c r="F581" s="183">
        <v>1</v>
      </c>
      <c r="G581" s="183">
        <v>2</v>
      </c>
      <c r="H581" s="183"/>
      <c r="I581" s="183"/>
      <c r="J581" s="183">
        <v>12</v>
      </c>
      <c r="K581" s="183"/>
      <c r="L581" s="183">
        <v>2</v>
      </c>
      <c r="M581" s="183">
        <v>6</v>
      </c>
      <c r="N581" s="183">
        <v>6</v>
      </c>
      <c r="O581" s="183"/>
      <c r="P581" s="183"/>
      <c r="Q581" s="183">
        <v>6</v>
      </c>
      <c r="R581" s="183"/>
      <c r="S581" s="183">
        <v>2</v>
      </c>
      <c r="T581" s="183"/>
      <c r="U581" s="183"/>
      <c r="V581" s="183"/>
      <c r="W581" s="183">
        <v>6</v>
      </c>
      <c r="X581" s="183">
        <v>6</v>
      </c>
      <c r="Y581" s="183"/>
      <c r="Z581" s="183"/>
      <c r="AA581" s="183"/>
      <c r="AB581" s="183"/>
      <c r="AC581" s="183"/>
      <c r="AD581" s="183"/>
      <c r="AE581" s="183"/>
      <c r="AF581" s="183">
        <v>2</v>
      </c>
      <c r="AG581" s="172">
        <f t="shared" si="19"/>
        <v>51</v>
      </c>
      <c r="AH581" s="187">
        <f>D581-AG581</f>
        <v>9</v>
      </c>
    </row>
    <row r="582" spans="1:34" ht="36" hidden="1" x14ac:dyDescent="0.55000000000000004">
      <c r="A582" s="127">
        <v>604</v>
      </c>
      <c r="B582" s="140" t="s">
        <v>1244</v>
      </c>
      <c r="C582" s="140" t="s">
        <v>1245</v>
      </c>
      <c r="D582" s="140">
        <v>100</v>
      </c>
      <c r="E582" s="183">
        <v>6</v>
      </c>
      <c r="F582" s="183">
        <v>2</v>
      </c>
      <c r="G582" s="183">
        <v>6</v>
      </c>
      <c r="H582" s="183"/>
      <c r="I582" s="183"/>
      <c r="J582" s="183">
        <v>12</v>
      </c>
      <c r="K582" s="183"/>
      <c r="L582" s="183">
        <f>6+6</f>
        <v>12</v>
      </c>
      <c r="M582" s="183">
        <v>6</v>
      </c>
      <c r="N582" s="183">
        <v>11</v>
      </c>
      <c r="O582" s="183"/>
      <c r="P582" s="183"/>
      <c r="Q582" s="183">
        <v>6</v>
      </c>
      <c r="R582" s="183"/>
      <c r="S582" s="183">
        <v>3</v>
      </c>
      <c r="T582" s="183"/>
      <c r="U582" s="183"/>
      <c r="V582" s="183"/>
      <c r="W582" s="183">
        <v>5</v>
      </c>
      <c r="X582" s="183">
        <v>6</v>
      </c>
      <c r="Y582" s="183"/>
      <c r="Z582" s="183"/>
      <c r="AA582" s="183"/>
      <c r="AB582" s="183"/>
      <c r="AC582" s="183"/>
      <c r="AD582" s="183">
        <v>3</v>
      </c>
      <c r="AE582" s="183">
        <v>1</v>
      </c>
      <c r="AF582" s="183">
        <v>6</v>
      </c>
      <c r="AG582" s="172">
        <f t="shared" si="19"/>
        <v>79</v>
      </c>
      <c r="AH582" s="187">
        <f>D582-AG582</f>
        <v>21</v>
      </c>
    </row>
    <row r="583" spans="1:34" ht="36" hidden="1" x14ac:dyDescent="0.55000000000000004">
      <c r="A583" s="127">
        <v>605</v>
      </c>
      <c r="B583" s="140" t="s">
        <v>1246</v>
      </c>
      <c r="C583" s="140" t="s">
        <v>1247</v>
      </c>
      <c r="D583" s="140">
        <v>348</v>
      </c>
      <c r="E583" s="183">
        <v>4</v>
      </c>
      <c r="F583" s="183">
        <v>1</v>
      </c>
      <c r="G583" s="183">
        <v>8</v>
      </c>
      <c r="H583" s="183"/>
      <c r="I583" s="183">
        <v>8</v>
      </c>
      <c r="J583" s="183">
        <f>16+16</f>
        <v>32</v>
      </c>
      <c r="K583" s="183"/>
      <c r="L583" s="183">
        <f>24+16</f>
        <v>40</v>
      </c>
      <c r="M583" s="183">
        <v>8</v>
      </c>
      <c r="N583" s="183">
        <v>32</v>
      </c>
      <c r="O583" s="183"/>
      <c r="P583" s="183"/>
      <c r="Q583" s="183">
        <v>16</v>
      </c>
      <c r="R583" s="183">
        <v>8</v>
      </c>
      <c r="S583" s="183">
        <v>8</v>
      </c>
      <c r="T583" s="183">
        <v>1</v>
      </c>
      <c r="U583" s="183"/>
      <c r="V583" s="183"/>
      <c r="W583" s="183">
        <v>16</v>
      </c>
      <c r="X583" s="183">
        <v>24</v>
      </c>
      <c r="Y583" s="183"/>
      <c r="Z583" s="183"/>
      <c r="AA583" s="183"/>
      <c r="AB583" s="183"/>
      <c r="AC583" s="183"/>
      <c r="AD583" s="183">
        <v>1</v>
      </c>
      <c r="AE583" s="183"/>
      <c r="AF583" s="183">
        <v>1</v>
      </c>
      <c r="AG583" s="172">
        <f t="shared" si="19"/>
        <v>204</v>
      </c>
      <c r="AH583" s="187">
        <f>D583-AG583</f>
        <v>144</v>
      </c>
    </row>
    <row r="584" spans="1:34" ht="36" hidden="1" x14ac:dyDescent="0.55000000000000004">
      <c r="A584" s="127">
        <v>606</v>
      </c>
      <c r="B584" s="140" t="s">
        <v>1248</v>
      </c>
      <c r="C584" s="140" t="s">
        <v>1249</v>
      </c>
      <c r="D584" s="140">
        <v>25</v>
      </c>
      <c r="E584" s="183">
        <v>1</v>
      </c>
      <c r="F584" s="183">
        <v>1</v>
      </c>
      <c r="G584" s="183">
        <v>1</v>
      </c>
      <c r="H584" s="183"/>
      <c r="I584" s="183"/>
      <c r="J584" s="183">
        <f>2+2</f>
        <v>4</v>
      </c>
      <c r="K584" s="183"/>
      <c r="L584" s="183">
        <v>2</v>
      </c>
      <c r="M584" s="183">
        <v>2</v>
      </c>
      <c r="N584" s="183">
        <v>5</v>
      </c>
      <c r="O584" s="183"/>
      <c r="P584" s="183"/>
      <c r="Q584" s="183">
        <v>1</v>
      </c>
      <c r="R584" s="183">
        <v>2</v>
      </c>
      <c r="S584" s="183">
        <v>1</v>
      </c>
      <c r="T584" s="183"/>
      <c r="U584" s="183"/>
      <c r="V584" s="183"/>
      <c r="W584" s="183">
        <f>2+2</f>
        <v>4</v>
      </c>
      <c r="X584" s="183">
        <v>2</v>
      </c>
      <c r="Y584" s="183"/>
      <c r="Z584" s="183"/>
      <c r="AA584" s="183"/>
      <c r="AB584" s="183"/>
      <c r="AC584" s="183">
        <v>5</v>
      </c>
      <c r="AD584" s="183"/>
      <c r="AE584" s="183"/>
      <c r="AF584" s="183"/>
      <c r="AG584" s="172">
        <f t="shared" si="19"/>
        <v>30</v>
      </c>
      <c r="AH584" s="187">
        <f>D584-AG584</f>
        <v>-5</v>
      </c>
    </row>
    <row r="585" spans="1:34" ht="36" hidden="1" x14ac:dyDescent="0.55000000000000004">
      <c r="A585" s="127">
        <v>607</v>
      </c>
      <c r="B585" s="140" t="s">
        <v>1250</v>
      </c>
      <c r="C585" s="140" t="s">
        <v>1251</v>
      </c>
      <c r="D585" s="140">
        <v>5</v>
      </c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>
        <v>1</v>
      </c>
      <c r="X585" s="183">
        <v>1</v>
      </c>
      <c r="Y585" s="183"/>
      <c r="Z585" s="183"/>
      <c r="AA585" s="183"/>
      <c r="AB585" s="183"/>
      <c r="AC585" s="183"/>
      <c r="AD585" s="183"/>
      <c r="AE585" s="183"/>
      <c r="AF585" s="183"/>
      <c r="AG585" s="172">
        <f t="shared" si="19"/>
        <v>2</v>
      </c>
      <c r="AH585" s="187">
        <f>D585-AG585</f>
        <v>3</v>
      </c>
    </row>
    <row r="586" spans="1:34" ht="36" hidden="1" x14ac:dyDescent="0.55000000000000004">
      <c r="A586" s="127">
        <v>608</v>
      </c>
      <c r="B586" s="140" t="s">
        <v>1252</v>
      </c>
      <c r="C586" s="140" t="s">
        <v>1253</v>
      </c>
      <c r="D586" s="140">
        <v>50</v>
      </c>
      <c r="E586" s="183"/>
      <c r="F586" s="183">
        <v>1</v>
      </c>
      <c r="G586" s="183">
        <v>2</v>
      </c>
      <c r="H586" s="183"/>
      <c r="I586" s="183"/>
      <c r="J586" s="183">
        <v>6</v>
      </c>
      <c r="K586" s="183"/>
      <c r="L586" s="183"/>
      <c r="M586" s="183">
        <v>7</v>
      </c>
      <c r="N586" s="183"/>
      <c r="O586" s="183"/>
      <c r="P586" s="183"/>
      <c r="Q586" s="183">
        <v>6</v>
      </c>
      <c r="R586" s="183"/>
      <c r="S586" s="183">
        <v>1</v>
      </c>
      <c r="T586" s="183"/>
      <c r="U586" s="183"/>
      <c r="V586" s="183"/>
      <c r="W586" s="183">
        <v>6</v>
      </c>
      <c r="X586" s="183">
        <v>6</v>
      </c>
      <c r="Y586" s="183"/>
      <c r="Z586" s="183"/>
      <c r="AA586" s="183"/>
      <c r="AB586" s="183"/>
      <c r="AC586" s="183"/>
      <c r="AD586" s="183"/>
      <c r="AE586" s="183">
        <v>1</v>
      </c>
      <c r="AF586" s="183"/>
      <c r="AG586" s="172">
        <f t="shared" si="19"/>
        <v>36</v>
      </c>
      <c r="AH586" s="187">
        <f>D586-AG586</f>
        <v>14</v>
      </c>
    </row>
    <row r="587" spans="1:34" ht="36" hidden="1" x14ac:dyDescent="0.55000000000000004">
      <c r="A587" s="127">
        <v>609</v>
      </c>
      <c r="B587" s="150" t="s">
        <v>1254</v>
      </c>
      <c r="C587" s="150" t="s">
        <v>1255</v>
      </c>
      <c r="D587" s="150">
        <v>10</v>
      </c>
      <c r="E587" s="183">
        <v>2</v>
      </c>
      <c r="F587" s="183"/>
      <c r="G587" s="183"/>
      <c r="H587" s="183"/>
      <c r="I587" s="183">
        <v>2</v>
      </c>
      <c r="J587" s="183">
        <v>5</v>
      </c>
      <c r="K587" s="183"/>
      <c r="L587" s="183"/>
      <c r="M587" s="183"/>
      <c r="N587" s="183">
        <v>7</v>
      </c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>
        <v>1</v>
      </c>
      <c r="AA587" s="183"/>
      <c r="AB587" s="183"/>
      <c r="AC587" s="183"/>
      <c r="AD587" s="183"/>
      <c r="AE587" s="183"/>
      <c r="AF587" s="183">
        <v>4</v>
      </c>
      <c r="AG587" s="172">
        <f t="shared" si="19"/>
        <v>19</v>
      </c>
      <c r="AH587" s="187">
        <f>D587-AG587</f>
        <v>-9</v>
      </c>
    </row>
    <row r="588" spans="1:34" ht="36" hidden="1" x14ac:dyDescent="0.55000000000000004">
      <c r="A588" s="127">
        <v>610</v>
      </c>
      <c r="B588" s="150" t="s">
        <v>1256</v>
      </c>
      <c r="C588" s="150" t="s">
        <v>1257</v>
      </c>
      <c r="D588" s="150">
        <v>1</v>
      </c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  <c r="AB588" s="183"/>
      <c r="AC588" s="183"/>
      <c r="AD588" s="183"/>
      <c r="AE588" s="183"/>
      <c r="AF588" s="183"/>
      <c r="AG588" s="172">
        <f t="shared" si="19"/>
        <v>0</v>
      </c>
      <c r="AH588" s="187">
        <f>D588-AG588</f>
        <v>1</v>
      </c>
    </row>
    <row r="589" spans="1:34" ht="36" hidden="1" x14ac:dyDescent="0.55000000000000004">
      <c r="A589" s="127">
        <v>611</v>
      </c>
      <c r="B589" s="150" t="s">
        <v>1258</v>
      </c>
      <c r="C589" s="150" t="s">
        <v>1259</v>
      </c>
      <c r="D589" s="150">
        <v>15</v>
      </c>
      <c r="E589" s="183"/>
      <c r="F589" s="183"/>
      <c r="G589" s="183"/>
      <c r="H589" s="183"/>
      <c r="I589" s="183"/>
      <c r="J589" s="183">
        <v>2</v>
      </c>
      <c r="K589" s="183"/>
      <c r="L589" s="183">
        <v>1</v>
      </c>
      <c r="M589" s="183"/>
      <c r="N589" s="183">
        <v>2</v>
      </c>
      <c r="O589" s="183"/>
      <c r="P589" s="183"/>
      <c r="Q589" s="183">
        <v>2</v>
      </c>
      <c r="R589" s="183">
        <v>2</v>
      </c>
      <c r="S589" s="183">
        <v>1</v>
      </c>
      <c r="T589" s="183"/>
      <c r="U589" s="183"/>
      <c r="V589" s="183"/>
      <c r="W589" s="183"/>
      <c r="X589" s="183">
        <v>2</v>
      </c>
      <c r="Y589" s="183"/>
      <c r="Z589" s="183"/>
      <c r="AA589" s="183"/>
      <c r="AB589" s="183"/>
      <c r="AC589" s="183"/>
      <c r="AD589" s="183"/>
      <c r="AE589" s="183"/>
      <c r="AF589" s="183"/>
      <c r="AG589" s="172">
        <f t="shared" si="19"/>
        <v>12</v>
      </c>
      <c r="AH589" s="187">
        <f>D589-AG589</f>
        <v>3</v>
      </c>
    </row>
    <row r="590" spans="1:34" ht="36" hidden="1" x14ac:dyDescent="0.55000000000000004">
      <c r="A590" s="127">
        <v>612</v>
      </c>
      <c r="B590" s="150" t="s">
        <v>1260</v>
      </c>
      <c r="C590" s="150" t="s">
        <v>1261</v>
      </c>
      <c r="D590" s="150">
        <v>5</v>
      </c>
      <c r="E590" s="183">
        <v>1</v>
      </c>
      <c r="F590" s="183"/>
      <c r="G590" s="183"/>
      <c r="H590" s="183"/>
      <c r="I590" s="183"/>
      <c r="J590" s="183">
        <v>2</v>
      </c>
      <c r="K590" s="183"/>
      <c r="L590" s="183"/>
      <c r="M590" s="183"/>
      <c r="N590" s="183">
        <v>1</v>
      </c>
      <c r="O590" s="183"/>
      <c r="P590" s="183"/>
      <c r="Q590" s="183"/>
      <c r="R590" s="183"/>
      <c r="S590" s="183"/>
      <c r="T590" s="183"/>
      <c r="U590" s="183"/>
      <c r="V590" s="183"/>
      <c r="W590" s="183">
        <v>2</v>
      </c>
      <c r="X590" s="183">
        <v>1</v>
      </c>
      <c r="Y590" s="183"/>
      <c r="Z590" s="183"/>
      <c r="AA590" s="183"/>
      <c r="AB590" s="183"/>
      <c r="AC590" s="183"/>
      <c r="AD590" s="183"/>
      <c r="AE590" s="183"/>
      <c r="AF590" s="183">
        <v>1</v>
      </c>
      <c r="AG590" s="172">
        <f t="shared" si="19"/>
        <v>7</v>
      </c>
      <c r="AH590" s="187">
        <f>D590-AG590</f>
        <v>-2</v>
      </c>
    </row>
    <row r="591" spans="1:34" ht="36" hidden="1" x14ac:dyDescent="0.55000000000000004">
      <c r="A591" s="127">
        <v>613</v>
      </c>
      <c r="B591" s="150" t="s">
        <v>1326</v>
      </c>
      <c r="C591" s="150" t="s">
        <v>1262</v>
      </c>
      <c r="D591" s="150">
        <v>2</v>
      </c>
      <c r="E591" s="183"/>
      <c r="F591" s="183"/>
      <c r="G591" s="183"/>
      <c r="H591" s="183"/>
      <c r="I591" s="183"/>
      <c r="J591" s="183">
        <v>1</v>
      </c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  <c r="AB591" s="183"/>
      <c r="AC591" s="183"/>
      <c r="AD591" s="183"/>
      <c r="AE591" s="183"/>
      <c r="AF591" s="183"/>
      <c r="AG591" s="172">
        <f t="shared" si="19"/>
        <v>1</v>
      </c>
      <c r="AH591" s="187">
        <f>D591-AG591</f>
        <v>1</v>
      </c>
    </row>
    <row r="592" spans="1:34" ht="36" hidden="1" x14ac:dyDescent="0.55000000000000004">
      <c r="A592" s="127">
        <v>614</v>
      </c>
      <c r="B592" s="150" t="s">
        <v>1263</v>
      </c>
      <c r="C592" s="150" t="s">
        <v>1264</v>
      </c>
      <c r="D592" s="150">
        <v>2</v>
      </c>
      <c r="E592" s="183"/>
      <c r="F592" s="183"/>
      <c r="G592" s="183"/>
      <c r="H592" s="183"/>
      <c r="I592" s="183"/>
      <c r="J592" s="183"/>
      <c r="K592" s="183"/>
      <c r="L592" s="183">
        <v>1</v>
      </c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  <c r="AB592" s="183"/>
      <c r="AC592" s="183"/>
      <c r="AD592" s="183"/>
      <c r="AE592" s="183"/>
      <c r="AF592" s="183"/>
      <c r="AG592" s="172">
        <f t="shared" si="19"/>
        <v>1</v>
      </c>
      <c r="AH592" s="187">
        <f>D592-AG592</f>
        <v>1</v>
      </c>
    </row>
    <row r="593" spans="1:34" ht="36" hidden="1" x14ac:dyDescent="0.55000000000000004">
      <c r="A593" s="127">
        <v>615</v>
      </c>
      <c r="B593" s="150" t="s">
        <v>1265</v>
      </c>
      <c r="C593" s="150" t="s">
        <v>1266</v>
      </c>
      <c r="D593" s="150">
        <v>2</v>
      </c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  <c r="AB593" s="183"/>
      <c r="AC593" s="183"/>
      <c r="AD593" s="183"/>
      <c r="AE593" s="183">
        <v>1</v>
      </c>
      <c r="AF593" s="183">
        <v>1</v>
      </c>
      <c r="AG593" s="172">
        <f t="shared" si="19"/>
        <v>2</v>
      </c>
      <c r="AH593" s="187">
        <f>D593-AG593</f>
        <v>0</v>
      </c>
    </row>
    <row r="594" spans="1:34" ht="36" hidden="1" x14ac:dyDescent="0.55000000000000004">
      <c r="A594" s="127">
        <v>616</v>
      </c>
      <c r="B594" s="150" t="s">
        <v>1267</v>
      </c>
      <c r="C594" s="150" t="s">
        <v>1268</v>
      </c>
      <c r="D594" s="150">
        <v>2</v>
      </c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  <c r="AC594" s="183"/>
      <c r="AD594" s="183"/>
      <c r="AE594" s="183">
        <v>1</v>
      </c>
      <c r="AF594" s="183"/>
      <c r="AG594" s="172">
        <f t="shared" si="19"/>
        <v>1</v>
      </c>
      <c r="AH594" s="187">
        <f>D594-AG594</f>
        <v>1</v>
      </c>
    </row>
    <row r="595" spans="1:34" ht="36" hidden="1" x14ac:dyDescent="0.55000000000000004">
      <c r="A595" s="127">
        <v>617</v>
      </c>
      <c r="B595" s="150" t="s">
        <v>1269</v>
      </c>
      <c r="C595" s="150" t="s">
        <v>1270</v>
      </c>
      <c r="D595" s="150">
        <v>2</v>
      </c>
      <c r="E595" s="183"/>
      <c r="F595" s="183"/>
      <c r="G595" s="183"/>
      <c r="H595" s="183"/>
      <c r="I595" s="183"/>
      <c r="J595" s="183">
        <v>1</v>
      </c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  <c r="AB595" s="183"/>
      <c r="AC595" s="183"/>
      <c r="AD595" s="183"/>
      <c r="AE595" s="183"/>
      <c r="AF595" s="183">
        <v>1</v>
      </c>
      <c r="AG595" s="172">
        <f t="shared" si="19"/>
        <v>2</v>
      </c>
      <c r="AH595" s="187">
        <f>D595-AG595</f>
        <v>0</v>
      </c>
    </row>
    <row r="596" spans="1:34" ht="36" hidden="1" x14ac:dyDescent="0.55000000000000004">
      <c r="A596" s="127">
        <v>618</v>
      </c>
      <c r="B596" s="150" t="s">
        <v>1271</v>
      </c>
      <c r="C596" s="150" t="s">
        <v>1272</v>
      </c>
      <c r="D596" s="150">
        <v>2</v>
      </c>
      <c r="E596" s="183"/>
      <c r="F596" s="183"/>
      <c r="G596" s="183"/>
      <c r="H596" s="183"/>
      <c r="I596" s="183"/>
      <c r="J596" s="183"/>
      <c r="K596" s="183"/>
      <c r="L596" s="183"/>
      <c r="M596" s="183"/>
      <c r="N596" s="183">
        <v>1</v>
      </c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  <c r="AB596" s="183"/>
      <c r="AC596" s="183"/>
      <c r="AD596" s="183">
        <v>1</v>
      </c>
      <c r="AE596" s="183"/>
      <c r="AF596" s="183"/>
      <c r="AG596" s="172">
        <f t="shared" si="19"/>
        <v>2</v>
      </c>
      <c r="AH596" s="187">
        <f>D596-AG596</f>
        <v>0</v>
      </c>
    </row>
    <row r="597" spans="1:34" ht="36" hidden="1" x14ac:dyDescent="0.55000000000000004">
      <c r="A597" s="127">
        <v>619</v>
      </c>
      <c r="B597" s="150" t="s">
        <v>1273</v>
      </c>
      <c r="C597" s="150" t="s">
        <v>1274</v>
      </c>
      <c r="D597" s="150">
        <v>3</v>
      </c>
      <c r="E597" s="183"/>
      <c r="F597" s="183"/>
      <c r="G597" s="183"/>
      <c r="H597" s="183"/>
      <c r="I597" s="183"/>
      <c r="J597" s="183"/>
      <c r="K597" s="183"/>
      <c r="L597" s="183">
        <v>1</v>
      </c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>
        <v>2</v>
      </c>
      <c r="X597" s="183"/>
      <c r="Y597" s="183"/>
      <c r="Z597" s="183"/>
      <c r="AA597" s="183"/>
      <c r="AB597" s="183"/>
      <c r="AC597" s="183"/>
      <c r="AD597" s="183"/>
      <c r="AE597" s="183"/>
      <c r="AF597" s="183"/>
      <c r="AG597" s="172">
        <f t="shared" si="19"/>
        <v>3</v>
      </c>
      <c r="AH597" s="187">
        <f>D597-AG597</f>
        <v>0</v>
      </c>
    </row>
    <row r="598" spans="1:34" ht="36" hidden="1" x14ac:dyDescent="0.55000000000000004">
      <c r="A598" s="127">
        <v>620</v>
      </c>
      <c r="B598" s="151" t="s">
        <v>1275</v>
      </c>
      <c r="C598" s="150" t="s">
        <v>1276</v>
      </c>
      <c r="D598" s="150">
        <v>2</v>
      </c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  <c r="AC598" s="183"/>
      <c r="AD598" s="183"/>
      <c r="AE598" s="183"/>
      <c r="AF598" s="183"/>
      <c r="AG598" s="172">
        <f t="shared" si="19"/>
        <v>0</v>
      </c>
      <c r="AH598" s="187">
        <f>D598-AG598</f>
        <v>2</v>
      </c>
    </row>
    <row r="599" spans="1:34" ht="36" hidden="1" x14ac:dyDescent="0.55000000000000004">
      <c r="A599" s="127">
        <v>621</v>
      </c>
      <c r="B599" s="150" t="s">
        <v>1277</v>
      </c>
      <c r="C599" s="151" t="s">
        <v>1278</v>
      </c>
      <c r="D599" s="150">
        <v>5</v>
      </c>
      <c r="E599" s="183"/>
      <c r="F599" s="183"/>
      <c r="G599" s="183"/>
      <c r="H599" s="183"/>
      <c r="I599" s="183"/>
      <c r="J599" s="183">
        <v>1</v>
      </c>
      <c r="K599" s="183"/>
      <c r="L599" s="183"/>
      <c r="M599" s="183"/>
      <c r="N599" s="183">
        <v>1</v>
      </c>
      <c r="O599" s="183"/>
      <c r="P599" s="183"/>
      <c r="Q599" s="183"/>
      <c r="R599" s="183"/>
      <c r="S599" s="183"/>
      <c r="T599" s="183">
        <v>1</v>
      </c>
      <c r="U599" s="183"/>
      <c r="V599" s="183"/>
      <c r="W599" s="183"/>
      <c r="X599" s="183"/>
      <c r="Y599" s="183"/>
      <c r="Z599" s="183"/>
      <c r="AA599" s="183"/>
      <c r="AB599" s="183"/>
      <c r="AC599" s="183"/>
      <c r="AD599" s="183"/>
      <c r="AE599" s="183"/>
      <c r="AF599" s="183">
        <v>2</v>
      </c>
      <c r="AG599" s="172">
        <f t="shared" si="19"/>
        <v>5</v>
      </c>
      <c r="AH599" s="187">
        <f>D599-AG599</f>
        <v>0</v>
      </c>
    </row>
    <row r="600" spans="1:34" ht="36" hidden="1" x14ac:dyDescent="0.55000000000000004">
      <c r="A600" s="127">
        <v>622</v>
      </c>
      <c r="B600" s="150" t="s">
        <v>1279</v>
      </c>
      <c r="C600" s="151" t="s">
        <v>1278</v>
      </c>
      <c r="D600" s="150">
        <v>6</v>
      </c>
      <c r="E600" s="183"/>
      <c r="F600" s="183"/>
      <c r="G600" s="183">
        <v>1</v>
      </c>
      <c r="H600" s="183"/>
      <c r="I600" s="183"/>
      <c r="J600" s="183">
        <f>1+1</f>
        <v>2</v>
      </c>
      <c r="K600" s="183"/>
      <c r="L600" s="183"/>
      <c r="M600" s="183"/>
      <c r="N600" s="183">
        <v>1</v>
      </c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  <c r="AB600" s="183"/>
      <c r="AC600" s="183"/>
      <c r="AD600" s="183"/>
      <c r="AE600" s="183"/>
      <c r="AF600" s="183"/>
      <c r="AG600" s="172">
        <f t="shared" si="19"/>
        <v>4</v>
      </c>
      <c r="AH600" s="187">
        <f>D600-AG600</f>
        <v>2</v>
      </c>
    </row>
    <row r="601" spans="1:34" ht="36" hidden="1" x14ac:dyDescent="0.55000000000000004">
      <c r="A601" s="127">
        <v>623</v>
      </c>
      <c r="B601" s="150" t="s">
        <v>1280</v>
      </c>
      <c r="C601" s="151" t="s">
        <v>1281</v>
      </c>
      <c r="D601" s="150">
        <v>5</v>
      </c>
      <c r="E601" s="183"/>
      <c r="F601" s="183"/>
      <c r="G601" s="183"/>
      <c r="H601" s="183"/>
      <c r="I601" s="183"/>
      <c r="J601" s="183">
        <f>1+1</f>
        <v>2</v>
      </c>
      <c r="K601" s="183"/>
      <c r="L601" s="183"/>
      <c r="M601" s="183"/>
      <c r="N601" s="183">
        <v>1</v>
      </c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  <c r="AB601" s="183"/>
      <c r="AC601" s="183"/>
      <c r="AD601" s="183"/>
      <c r="AE601" s="183"/>
      <c r="AF601" s="183">
        <v>1</v>
      </c>
      <c r="AG601" s="172">
        <f t="shared" si="19"/>
        <v>4</v>
      </c>
      <c r="AH601" s="187">
        <f>D601-AG601</f>
        <v>1</v>
      </c>
    </row>
    <row r="602" spans="1:34" ht="36" hidden="1" x14ac:dyDescent="0.55000000000000004">
      <c r="A602" s="127">
        <v>624</v>
      </c>
      <c r="B602" s="150" t="s">
        <v>1282</v>
      </c>
      <c r="C602" s="151" t="s">
        <v>1278</v>
      </c>
      <c r="D602" s="150">
        <v>6</v>
      </c>
      <c r="E602" s="183"/>
      <c r="F602" s="183"/>
      <c r="G602" s="183"/>
      <c r="H602" s="183"/>
      <c r="I602" s="183"/>
      <c r="J602" s="183">
        <f>1+1</f>
        <v>2</v>
      </c>
      <c r="K602" s="183"/>
      <c r="L602" s="183"/>
      <c r="M602" s="183"/>
      <c r="N602" s="183">
        <v>1</v>
      </c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  <c r="AC602" s="183"/>
      <c r="AD602" s="183"/>
      <c r="AE602" s="183"/>
      <c r="AF602" s="183">
        <v>1</v>
      </c>
      <c r="AG602" s="172">
        <f t="shared" si="19"/>
        <v>4</v>
      </c>
      <c r="AH602" s="187">
        <f>D602-AG602</f>
        <v>2</v>
      </c>
    </row>
    <row r="603" spans="1:34" ht="36" hidden="1" x14ac:dyDescent="0.55000000000000004">
      <c r="A603" s="127">
        <v>625</v>
      </c>
      <c r="B603" s="150" t="s">
        <v>1283</v>
      </c>
      <c r="C603" s="151" t="s">
        <v>1284</v>
      </c>
      <c r="D603" s="150">
        <v>100</v>
      </c>
      <c r="E603" s="183"/>
      <c r="F603" s="183"/>
      <c r="G603" s="183"/>
      <c r="H603" s="183"/>
      <c r="I603" s="183"/>
      <c r="J603" s="183">
        <f>20+15</f>
        <v>35</v>
      </c>
      <c r="K603" s="183"/>
      <c r="L603" s="183">
        <v>8</v>
      </c>
      <c r="M603" s="183">
        <v>5</v>
      </c>
      <c r="N603" s="183">
        <f>6+5+10</f>
        <v>21</v>
      </c>
      <c r="O603" s="183"/>
      <c r="P603" s="183"/>
      <c r="Q603" s="183"/>
      <c r="R603" s="183"/>
      <c r="S603" s="183"/>
      <c r="T603" s="183"/>
      <c r="U603" s="183"/>
      <c r="V603" s="183"/>
      <c r="W603" s="183">
        <v>5</v>
      </c>
      <c r="X603" s="183">
        <v>5</v>
      </c>
      <c r="Y603" s="183"/>
      <c r="Z603" s="183">
        <v>1</v>
      </c>
      <c r="AA603" s="183">
        <v>1</v>
      </c>
      <c r="AB603" s="183"/>
      <c r="AC603" s="183"/>
      <c r="AD603" s="183">
        <v>3</v>
      </c>
      <c r="AE603" s="183">
        <v>2</v>
      </c>
      <c r="AF603" s="183">
        <v>19</v>
      </c>
      <c r="AG603" s="172">
        <f t="shared" si="19"/>
        <v>105</v>
      </c>
      <c r="AH603" s="187">
        <f>D603-AG603</f>
        <v>-5</v>
      </c>
    </row>
    <row r="604" spans="1:34" ht="36" hidden="1" x14ac:dyDescent="0.55000000000000004">
      <c r="A604" s="127">
        <v>626</v>
      </c>
      <c r="B604" s="94" t="s">
        <v>841</v>
      </c>
      <c r="C604" s="35" t="s">
        <v>842</v>
      </c>
      <c r="D604" s="32">
        <v>34</v>
      </c>
      <c r="E604" s="183"/>
      <c r="F604" s="171"/>
      <c r="G604" s="171"/>
      <c r="H604" s="171"/>
      <c r="I604" s="171"/>
      <c r="J604" s="171">
        <v>1</v>
      </c>
      <c r="K604" s="171"/>
      <c r="L604" s="171"/>
      <c r="M604" s="171"/>
      <c r="N604" s="171"/>
      <c r="O604" s="171"/>
      <c r="P604" s="171"/>
      <c r="Q604" s="171">
        <v>1</v>
      </c>
      <c r="R604" s="171"/>
      <c r="S604" s="171"/>
      <c r="T604" s="171"/>
      <c r="U604" s="171"/>
      <c r="V604" s="171"/>
      <c r="W604" s="171">
        <v>1</v>
      </c>
      <c r="X604" s="171"/>
      <c r="Y604" s="171">
        <v>5</v>
      </c>
      <c r="Z604" s="171"/>
      <c r="AA604" s="171"/>
      <c r="AB604" s="171"/>
      <c r="AC604" s="171"/>
      <c r="AD604" s="171"/>
      <c r="AE604" s="171"/>
      <c r="AF604" s="171"/>
      <c r="AG604" s="172">
        <f t="shared" ref="AG604" si="20">SUM(F604:AF604)</f>
        <v>8</v>
      </c>
      <c r="AH604" s="173">
        <f>D604-AG604</f>
        <v>26</v>
      </c>
    </row>
    <row r="605" spans="1:34" ht="35.25" hidden="1" x14ac:dyDescent="0.5">
      <c r="A605" s="127">
        <v>627</v>
      </c>
      <c r="B605" s="140" t="s">
        <v>1286</v>
      </c>
      <c r="C605" s="140" t="s">
        <v>1287</v>
      </c>
      <c r="D605" s="140">
        <v>5</v>
      </c>
      <c r="E605" s="171"/>
      <c r="F605" s="171"/>
      <c r="G605" s="171"/>
      <c r="H605" s="171"/>
      <c r="I605" s="171"/>
      <c r="J605" s="171">
        <v>3</v>
      </c>
      <c r="K605" s="171"/>
      <c r="L605" s="171"/>
      <c r="M605" s="171">
        <v>1</v>
      </c>
      <c r="N605" s="171">
        <v>1</v>
      </c>
      <c r="O605" s="171"/>
      <c r="P605" s="171"/>
      <c r="Q605" s="171"/>
      <c r="R605" s="171"/>
      <c r="S605" s="171"/>
      <c r="T605" s="171"/>
      <c r="U605" s="171"/>
      <c r="V605" s="171"/>
      <c r="W605" s="171">
        <v>1</v>
      </c>
      <c r="X605" s="171">
        <v>1</v>
      </c>
      <c r="Y605" s="171"/>
      <c r="Z605" s="171"/>
      <c r="AA605" s="171"/>
      <c r="AB605" s="171"/>
      <c r="AC605" s="171"/>
      <c r="AD605" s="171"/>
      <c r="AE605" s="171"/>
      <c r="AF605" s="171"/>
      <c r="AG605" s="172">
        <f t="shared" ref="AG605:AG625" si="21">SUM(F605:AF605)</f>
        <v>7</v>
      </c>
      <c r="AH605" s="173">
        <f>D605-AG605</f>
        <v>-2</v>
      </c>
    </row>
    <row r="606" spans="1:34" ht="36" hidden="1" x14ac:dyDescent="0.55000000000000004">
      <c r="A606" s="127">
        <v>628</v>
      </c>
      <c r="B606" s="140" t="s">
        <v>1288</v>
      </c>
      <c r="C606" s="140" t="s">
        <v>1289</v>
      </c>
      <c r="D606" s="140">
        <v>5</v>
      </c>
      <c r="E606" s="171"/>
      <c r="F606" s="183"/>
      <c r="G606" s="183"/>
      <c r="H606" s="183"/>
      <c r="I606" s="183"/>
      <c r="J606" s="183"/>
      <c r="K606" s="183"/>
      <c r="L606" s="183">
        <v>1</v>
      </c>
      <c r="M606" s="183"/>
      <c r="N606" s="183">
        <v>1</v>
      </c>
      <c r="O606" s="183"/>
      <c r="P606" s="183"/>
      <c r="Q606" s="183"/>
      <c r="R606" s="183"/>
      <c r="S606" s="183"/>
      <c r="T606" s="183"/>
      <c r="U606" s="183"/>
      <c r="V606" s="183"/>
      <c r="W606" s="183">
        <v>1</v>
      </c>
      <c r="X606" s="183">
        <v>1</v>
      </c>
      <c r="Y606" s="183"/>
      <c r="Z606" s="183"/>
      <c r="AA606" s="183"/>
      <c r="AB606" s="183"/>
      <c r="AC606" s="183"/>
      <c r="AD606" s="183"/>
      <c r="AE606" s="183"/>
      <c r="AF606" s="183"/>
      <c r="AG606" s="172">
        <f t="shared" si="21"/>
        <v>4</v>
      </c>
      <c r="AH606" s="187">
        <f>D606-AG606</f>
        <v>1</v>
      </c>
    </row>
    <row r="607" spans="1:34" ht="36" hidden="1" x14ac:dyDescent="0.55000000000000004">
      <c r="A607" s="127">
        <v>629</v>
      </c>
      <c r="B607" s="152"/>
      <c r="C607" s="152" t="s">
        <v>1290</v>
      </c>
      <c r="D607" s="152">
        <v>50</v>
      </c>
      <c r="E607" s="183"/>
      <c r="F607" s="183"/>
      <c r="G607" s="183">
        <v>2</v>
      </c>
      <c r="H607" s="183"/>
      <c r="I607" s="183">
        <v>2</v>
      </c>
      <c r="J607" s="183">
        <v>8</v>
      </c>
      <c r="K607" s="183"/>
      <c r="L607" s="183">
        <v>3</v>
      </c>
      <c r="M607" s="183">
        <v>2</v>
      </c>
      <c r="N607" s="183">
        <f>2+2</f>
        <v>4</v>
      </c>
      <c r="O607" s="183"/>
      <c r="P607" s="183"/>
      <c r="Q607" s="183"/>
      <c r="R607" s="183">
        <v>2</v>
      </c>
      <c r="S607" s="183">
        <v>1</v>
      </c>
      <c r="T607" s="183"/>
      <c r="U607" s="183"/>
      <c r="V607" s="183"/>
      <c r="W607" s="183">
        <v>2</v>
      </c>
      <c r="X607" s="183">
        <v>2</v>
      </c>
      <c r="Y607" s="183"/>
      <c r="Z607" s="183"/>
      <c r="AA607" s="183"/>
      <c r="AB607" s="183"/>
      <c r="AC607" s="183"/>
      <c r="AD607" s="183"/>
      <c r="AE607" s="183"/>
      <c r="AF607" s="183"/>
      <c r="AG607" s="172">
        <f t="shared" si="21"/>
        <v>28</v>
      </c>
      <c r="AH607" s="187">
        <f>D607-AG607</f>
        <v>22</v>
      </c>
    </row>
    <row r="608" spans="1:34" ht="36" hidden="1" x14ac:dyDescent="0.55000000000000004">
      <c r="A608" s="127">
        <v>630</v>
      </c>
      <c r="B608" s="152"/>
      <c r="C608" s="152" t="s">
        <v>1291</v>
      </c>
      <c r="D608" s="152">
        <v>10</v>
      </c>
      <c r="E608" s="183"/>
      <c r="F608" s="183"/>
      <c r="G608" s="183"/>
      <c r="H608" s="183"/>
      <c r="I608" s="183"/>
      <c r="J608" s="183">
        <v>2</v>
      </c>
      <c r="K608" s="183"/>
      <c r="L608" s="183">
        <v>2</v>
      </c>
      <c r="M608" s="183"/>
      <c r="N608" s="183">
        <v>2</v>
      </c>
      <c r="O608" s="183"/>
      <c r="P608" s="183"/>
      <c r="Q608" s="183"/>
      <c r="R608" s="183">
        <v>2</v>
      </c>
      <c r="S608" s="183">
        <v>1</v>
      </c>
      <c r="T608" s="183"/>
      <c r="U608" s="183"/>
      <c r="V608" s="183"/>
      <c r="W608" s="183"/>
      <c r="X608" s="183"/>
      <c r="Y608" s="183"/>
      <c r="Z608" s="183"/>
      <c r="AA608" s="183"/>
      <c r="AB608" s="183"/>
      <c r="AC608" s="183"/>
      <c r="AD608" s="183">
        <v>1</v>
      </c>
      <c r="AE608" s="183"/>
      <c r="AF608" s="183"/>
      <c r="AG608" s="172">
        <f t="shared" si="21"/>
        <v>10</v>
      </c>
      <c r="AH608" s="187">
        <f>D608-AG608</f>
        <v>0</v>
      </c>
    </row>
    <row r="609" spans="1:34" ht="36" hidden="1" x14ac:dyDescent="0.55000000000000004">
      <c r="A609" s="127">
        <v>631</v>
      </c>
      <c r="B609" s="153" t="s">
        <v>1292</v>
      </c>
      <c r="C609" s="153" t="s">
        <v>1293</v>
      </c>
      <c r="D609" s="154">
        <v>2</v>
      </c>
      <c r="E609" s="183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72">
        <f t="shared" si="21"/>
        <v>0</v>
      </c>
      <c r="AH609" s="173">
        <f>D609-AG609</f>
        <v>2</v>
      </c>
    </row>
    <row r="610" spans="1:34" ht="36" hidden="1" x14ac:dyDescent="0.55000000000000004">
      <c r="A610" s="127">
        <v>632</v>
      </c>
      <c r="B610" s="153" t="s">
        <v>1294</v>
      </c>
      <c r="C610" s="153" t="s">
        <v>1295</v>
      </c>
      <c r="D610" s="154">
        <v>5</v>
      </c>
      <c r="E610" s="180"/>
      <c r="F610" s="171"/>
      <c r="G610" s="171">
        <v>1</v>
      </c>
      <c r="H610" s="171"/>
      <c r="I610" s="171"/>
      <c r="J610" s="171"/>
      <c r="K610" s="171"/>
      <c r="L610" s="171"/>
      <c r="M610" s="171"/>
      <c r="N610" s="171">
        <v>1</v>
      </c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  <c r="AE610" s="171"/>
      <c r="AF610" s="171"/>
      <c r="AG610" s="172">
        <f t="shared" si="21"/>
        <v>2</v>
      </c>
      <c r="AH610" s="173">
        <f>D610-AG610</f>
        <v>3</v>
      </c>
    </row>
    <row r="611" spans="1:34" ht="35.25" hidden="1" x14ac:dyDescent="0.5">
      <c r="A611" s="127">
        <v>633</v>
      </c>
      <c r="B611" s="153" t="s">
        <v>1296</v>
      </c>
      <c r="C611" s="153" t="s">
        <v>1297</v>
      </c>
      <c r="D611" s="154">
        <v>1</v>
      </c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1"/>
      <c r="AD611" s="171"/>
      <c r="AE611" s="171"/>
      <c r="AF611" s="171"/>
      <c r="AG611" s="172">
        <f t="shared" si="21"/>
        <v>0</v>
      </c>
      <c r="AH611" s="173">
        <f>D611-AG611</f>
        <v>1</v>
      </c>
    </row>
    <row r="612" spans="1:34" ht="35.25" hidden="1" x14ac:dyDescent="0.5">
      <c r="A612" s="127">
        <v>634</v>
      </c>
      <c r="B612" s="153" t="s">
        <v>1298</v>
      </c>
      <c r="C612" s="153" t="s">
        <v>1299</v>
      </c>
      <c r="D612" s="154">
        <v>1</v>
      </c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1"/>
      <c r="AD612" s="171"/>
      <c r="AE612" s="171"/>
      <c r="AF612" s="171"/>
      <c r="AG612" s="172">
        <f t="shared" si="21"/>
        <v>0</v>
      </c>
      <c r="AH612" s="173">
        <f>D612-AG612</f>
        <v>1</v>
      </c>
    </row>
    <row r="613" spans="1:34" ht="35.25" hidden="1" x14ac:dyDescent="0.5">
      <c r="A613" s="127">
        <v>635</v>
      </c>
      <c r="B613" s="153" t="s">
        <v>1300</v>
      </c>
      <c r="C613" s="153" t="s">
        <v>1301</v>
      </c>
      <c r="D613" s="154">
        <v>6</v>
      </c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1"/>
      <c r="AD613" s="171"/>
      <c r="AE613" s="171"/>
      <c r="AF613" s="171"/>
      <c r="AG613" s="172">
        <f t="shared" si="21"/>
        <v>0</v>
      </c>
      <c r="AH613" s="173">
        <f>D613-AG613</f>
        <v>6</v>
      </c>
    </row>
    <row r="614" spans="1:34" ht="35.25" hidden="1" x14ac:dyDescent="0.5">
      <c r="A614" s="127">
        <v>636</v>
      </c>
      <c r="B614" s="153" t="s">
        <v>1302</v>
      </c>
      <c r="C614" s="153" t="s">
        <v>1303</v>
      </c>
      <c r="D614" s="154">
        <v>1</v>
      </c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  <c r="AE614" s="171"/>
      <c r="AF614" s="171"/>
      <c r="AG614" s="172">
        <f t="shared" si="21"/>
        <v>0</v>
      </c>
      <c r="AH614" s="173">
        <f>D614-AG614</f>
        <v>1</v>
      </c>
    </row>
    <row r="615" spans="1:34" ht="35.25" hidden="1" x14ac:dyDescent="0.5">
      <c r="A615" s="127">
        <v>637</v>
      </c>
      <c r="B615" s="153" t="s">
        <v>1304</v>
      </c>
      <c r="C615" s="153" t="s">
        <v>1305</v>
      </c>
      <c r="D615" s="154">
        <v>1</v>
      </c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  <c r="AC615" s="171"/>
      <c r="AD615" s="171"/>
      <c r="AE615" s="171"/>
      <c r="AF615" s="171"/>
      <c r="AG615" s="172">
        <f t="shared" si="21"/>
        <v>0</v>
      </c>
      <c r="AH615" s="173">
        <f>D615-AG615</f>
        <v>1</v>
      </c>
    </row>
    <row r="616" spans="1:34" ht="36" hidden="1" x14ac:dyDescent="0.55000000000000004">
      <c r="A616" s="127">
        <v>638</v>
      </c>
      <c r="B616" s="153" t="s">
        <v>1306</v>
      </c>
      <c r="C616" s="153" t="s">
        <v>1307</v>
      </c>
      <c r="D616" s="154">
        <v>1</v>
      </c>
      <c r="E616" s="171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72">
        <f t="shared" si="21"/>
        <v>0</v>
      </c>
      <c r="AH616" s="173">
        <f>D616-AG616</f>
        <v>1</v>
      </c>
    </row>
    <row r="617" spans="1:34" ht="36" hidden="1" x14ac:dyDescent="0.55000000000000004">
      <c r="A617" s="127">
        <v>639</v>
      </c>
      <c r="B617" s="153" t="s">
        <v>1308</v>
      </c>
      <c r="C617" s="153" t="s">
        <v>1309</v>
      </c>
      <c r="D617" s="154">
        <v>5</v>
      </c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72">
        <f t="shared" si="21"/>
        <v>0</v>
      </c>
      <c r="AH617" s="173">
        <f>D617-AG617</f>
        <v>5</v>
      </c>
    </row>
    <row r="618" spans="1:34" ht="36" hidden="1" x14ac:dyDescent="0.55000000000000004">
      <c r="A618" s="127">
        <v>640</v>
      </c>
      <c r="B618" s="153" t="s">
        <v>1310</v>
      </c>
      <c r="C618" s="153" t="s">
        <v>1311</v>
      </c>
      <c r="D618" s="154">
        <v>1</v>
      </c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72">
        <f t="shared" si="21"/>
        <v>0</v>
      </c>
      <c r="AH618" s="173">
        <f>D618-AG618</f>
        <v>1</v>
      </c>
    </row>
    <row r="619" spans="1:34" ht="36" hidden="1" x14ac:dyDescent="0.55000000000000004">
      <c r="A619" s="127">
        <v>641</v>
      </c>
      <c r="B619" s="153" t="s">
        <v>1312</v>
      </c>
      <c r="C619" s="153" t="s">
        <v>1313</v>
      </c>
      <c r="D619" s="154">
        <v>1</v>
      </c>
      <c r="E619" s="180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  <c r="AB619" s="183"/>
      <c r="AC619" s="183"/>
      <c r="AD619" s="183"/>
      <c r="AE619" s="183"/>
      <c r="AF619" s="183"/>
      <c r="AG619" s="172">
        <f t="shared" si="21"/>
        <v>0</v>
      </c>
      <c r="AH619" s="173">
        <f>D619-AG619</f>
        <v>1</v>
      </c>
    </row>
    <row r="620" spans="1:34" ht="36" hidden="1" x14ac:dyDescent="0.55000000000000004">
      <c r="A620" s="127">
        <v>642</v>
      </c>
      <c r="B620" s="153" t="s">
        <v>1314</v>
      </c>
      <c r="C620" s="153" t="s">
        <v>1315</v>
      </c>
      <c r="D620" s="154">
        <v>5</v>
      </c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  <c r="AB620" s="183"/>
      <c r="AC620" s="183"/>
      <c r="AD620" s="183"/>
      <c r="AE620" s="183"/>
      <c r="AF620" s="183"/>
      <c r="AG620" s="172">
        <f t="shared" si="21"/>
        <v>0</v>
      </c>
      <c r="AH620" s="173">
        <f>D620-AG620</f>
        <v>5</v>
      </c>
    </row>
    <row r="621" spans="1:34" ht="36" hidden="1" x14ac:dyDescent="0.55000000000000004">
      <c r="A621" s="127">
        <v>643</v>
      </c>
      <c r="B621" s="153" t="s">
        <v>1304</v>
      </c>
      <c r="C621" s="153" t="s">
        <v>1305</v>
      </c>
      <c r="D621" s="154">
        <v>5</v>
      </c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  <c r="AB621" s="183"/>
      <c r="AC621" s="183"/>
      <c r="AD621" s="183"/>
      <c r="AE621" s="183"/>
      <c r="AF621" s="183"/>
      <c r="AG621" s="172">
        <f t="shared" si="21"/>
        <v>0</v>
      </c>
      <c r="AH621" s="187">
        <f>D621-AG621</f>
        <v>5</v>
      </c>
    </row>
    <row r="622" spans="1:34" ht="36" hidden="1" x14ac:dyDescent="0.55000000000000004">
      <c r="A622" s="127">
        <v>644</v>
      </c>
      <c r="B622" s="153" t="s">
        <v>1316</v>
      </c>
      <c r="C622" s="153" t="s">
        <v>1317</v>
      </c>
      <c r="D622" s="154">
        <v>6100</v>
      </c>
      <c r="E622" s="183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72">
        <f t="shared" si="21"/>
        <v>0</v>
      </c>
      <c r="AH622" s="173">
        <f>D622-AG622</f>
        <v>6100</v>
      </c>
    </row>
    <row r="623" spans="1:34" ht="36" hidden="1" x14ac:dyDescent="0.55000000000000004">
      <c r="A623" s="127">
        <v>645</v>
      </c>
      <c r="B623" s="153" t="s">
        <v>1318</v>
      </c>
      <c r="C623" s="153" t="s">
        <v>1319</v>
      </c>
      <c r="D623" s="154">
        <v>6100</v>
      </c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72">
        <f t="shared" si="21"/>
        <v>0</v>
      </c>
      <c r="AH623" s="173">
        <f>D623-AG623</f>
        <v>6100</v>
      </c>
    </row>
    <row r="624" spans="1:34" ht="36" hidden="1" x14ac:dyDescent="0.55000000000000004">
      <c r="A624" s="127">
        <v>646</v>
      </c>
      <c r="B624" s="140" t="s">
        <v>1320</v>
      </c>
      <c r="C624" s="140" t="s">
        <v>1322</v>
      </c>
      <c r="D624" s="140">
        <v>5</v>
      </c>
      <c r="E624" s="180"/>
      <c r="F624" s="183"/>
      <c r="G624" s="183">
        <v>1</v>
      </c>
      <c r="H624" s="183"/>
      <c r="I624" s="183"/>
      <c r="J624" s="183">
        <v>1</v>
      </c>
      <c r="K624" s="183"/>
      <c r="L624" s="183">
        <v>2</v>
      </c>
      <c r="M624" s="183">
        <v>1</v>
      </c>
      <c r="N624" s="183"/>
      <c r="O624" s="183"/>
      <c r="P624" s="183"/>
      <c r="Q624" s="183"/>
      <c r="R624" s="183">
        <v>1</v>
      </c>
      <c r="S624" s="183">
        <v>1</v>
      </c>
      <c r="T624" s="183"/>
      <c r="U624" s="183"/>
      <c r="V624" s="183"/>
      <c r="W624" s="183">
        <v>1</v>
      </c>
      <c r="X624" s="183"/>
      <c r="Y624" s="183"/>
      <c r="Z624" s="183"/>
      <c r="AA624" s="183"/>
      <c r="AB624" s="183"/>
      <c r="AC624" s="183"/>
      <c r="AD624" s="183"/>
      <c r="AE624" s="183"/>
      <c r="AF624" s="183"/>
      <c r="AG624" s="172">
        <f t="shared" si="21"/>
        <v>8</v>
      </c>
      <c r="AH624" s="187">
        <f>D624-AG624</f>
        <v>-3</v>
      </c>
    </row>
    <row r="625" spans="1:34" ht="36" hidden="1" x14ac:dyDescent="0.55000000000000004">
      <c r="A625" s="127">
        <v>647</v>
      </c>
      <c r="B625" s="140" t="s">
        <v>1321</v>
      </c>
      <c r="C625" s="140" t="s">
        <v>1323</v>
      </c>
      <c r="D625" s="140">
        <v>5</v>
      </c>
      <c r="E625" s="183">
        <v>1</v>
      </c>
      <c r="F625" s="171"/>
      <c r="G625" s="171">
        <v>1</v>
      </c>
      <c r="H625" s="171"/>
      <c r="I625" s="171">
        <v>1</v>
      </c>
      <c r="J625" s="171">
        <v>1</v>
      </c>
      <c r="K625" s="171"/>
      <c r="L625" s="171">
        <v>1</v>
      </c>
      <c r="M625" s="171">
        <v>1</v>
      </c>
      <c r="N625" s="171"/>
      <c r="O625" s="171"/>
      <c r="P625" s="171"/>
      <c r="Q625" s="171"/>
      <c r="R625" s="171">
        <v>1</v>
      </c>
      <c r="S625" s="171">
        <v>1</v>
      </c>
      <c r="T625" s="171"/>
      <c r="U625" s="171"/>
      <c r="V625" s="171"/>
      <c r="W625" s="171">
        <v>1</v>
      </c>
      <c r="X625" s="171"/>
      <c r="Y625" s="171"/>
      <c r="Z625" s="171"/>
      <c r="AA625" s="171"/>
      <c r="AB625" s="171"/>
      <c r="AC625" s="171"/>
      <c r="AD625" s="171"/>
      <c r="AE625" s="171"/>
      <c r="AF625" s="171"/>
      <c r="AG625" s="172">
        <f t="shared" si="21"/>
        <v>8</v>
      </c>
      <c r="AH625" s="187">
        <f>D625-AG625</f>
        <v>-3</v>
      </c>
    </row>
    <row r="626" spans="1:34" ht="35.25" hidden="1" x14ac:dyDescent="0.5">
      <c r="A626" s="127">
        <v>648</v>
      </c>
      <c r="B626" s="140" t="s">
        <v>1324</v>
      </c>
      <c r="C626" s="140" t="s">
        <v>1325</v>
      </c>
      <c r="D626" s="140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1"/>
      <c r="AD626" s="171">
        <v>1</v>
      </c>
      <c r="AE626" s="171"/>
      <c r="AF626" s="171">
        <v>1</v>
      </c>
      <c r="AG626" s="172"/>
      <c r="AH626" s="173"/>
    </row>
    <row r="627" spans="1:34" ht="35.25" hidden="1" x14ac:dyDescent="0.5">
      <c r="A627" s="127">
        <v>651</v>
      </c>
      <c r="B627" s="155" t="s">
        <v>126</v>
      </c>
      <c r="C627" s="155" t="s">
        <v>127</v>
      </c>
      <c r="D627" s="155">
        <v>18</v>
      </c>
      <c r="E627" s="171"/>
      <c r="F627" s="171"/>
      <c r="G627" s="171"/>
      <c r="H627" s="171"/>
      <c r="I627" s="171"/>
      <c r="J627" s="171"/>
      <c r="K627" s="171"/>
      <c r="L627" s="171">
        <v>1</v>
      </c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1"/>
      <c r="AD627" s="171"/>
      <c r="AE627" s="171"/>
      <c r="AF627" s="171"/>
      <c r="AG627" s="172">
        <f t="shared" ref="AG627:AG640" si="22">SUM(F627:AF627)</f>
        <v>1</v>
      </c>
      <c r="AH627" s="173">
        <f>D627-AG627</f>
        <v>17</v>
      </c>
    </row>
    <row r="628" spans="1:34" ht="36" hidden="1" x14ac:dyDescent="0.55000000000000004">
      <c r="A628" s="127">
        <v>652</v>
      </c>
      <c r="B628" s="155" t="s">
        <v>1167</v>
      </c>
      <c r="C628" s="155" t="s">
        <v>1330</v>
      </c>
      <c r="D628" s="155">
        <v>30</v>
      </c>
      <c r="E628" s="183">
        <v>4</v>
      </c>
      <c r="F628" s="171"/>
      <c r="G628" s="171">
        <v>2</v>
      </c>
      <c r="H628" s="171"/>
      <c r="I628" s="171">
        <v>2</v>
      </c>
      <c r="J628" s="171">
        <v>2</v>
      </c>
      <c r="K628" s="171"/>
      <c r="L628" s="171">
        <v>2</v>
      </c>
      <c r="M628" s="171"/>
      <c r="N628" s="171">
        <v>5</v>
      </c>
      <c r="O628" s="171"/>
      <c r="P628" s="171"/>
      <c r="Q628" s="171"/>
      <c r="R628" s="171"/>
      <c r="S628" s="171">
        <v>3</v>
      </c>
      <c r="T628" s="171"/>
      <c r="U628" s="171"/>
      <c r="V628" s="171"/>
      <c r="W628" s="171">
        <v>3</v>
      </c>
      <c r="X628" s="171">
        <v>2</v>
      </c>
      <c r="Y628" s="171"/>
      <c r="Z628" s="171"/>
      <c r="AA628" s="171"/>
      <c r="AB628" s="171"/>
      <c r="AC628" s="171"/>
      <c r="AD628" s="171"/>
      <c r="AE628" s="171"/>
      <c r="AF628" s="171"/>
      <c r="AG628" s="172">
        <f t="shared" si="22"/>
        <v>21</v>
      </c>
      <c r="AH628" s="173">
        <f>D628-AG628</f>
        <v>9</v>
      </c>
    </row>
    <row r="629" spans="1:34" ht="36" hidden="1" x14ac:dyDescent="0.55000000000000004">
      <c r="A629" s="127">
        <v>653</v>
      </c>
      <c r="B629" s="155" t="s">
        <v>50</v>
      </c>
      <c r="C629" s="155" t="s">
        <v>1331</v>
      </c>
      <c r="D629" s="155">
        <v>30</v>
      </c>
      <c r="E629" s="196">
        <v>4</v>
      </c>
      <c r="F629" s="196"/>
      <c r="G629" s="196">
        <v>2</v>
      </c>
      <c r="H629" s="196"/>
      <c r="I629" s="196">
        <v>2</v>
      </c>
      <c r="J629" s="196"/>
      <c r="K629" s="196"/>
      <c r="L629" s="196">
        <v>2</v>
      </c>
      <c r="M629" s="196"/>
      <c r="N629" s="196">
        <v>5</v>
      </c>
      <c r="O629" s="196"/>
      <c r="P629" s="196"/>
      <c r="Q629" s="196"/>
      <c r="R629" s="196">
        <v>1</v>
      </c>
      <c r="S629" s="196">
        <v>3</v>
      </c>
      <c r="T629" s="196"/>
      <c r="U629" s="196"/>
      <c r="V629" s="196"/>
      <c r="W629" s="196"/>
      <c r="X629" s="196">
        <v>3</v>
      </c>
      <c r="Y629" s="196"/>
      <c r="Z629" s="196"/>
      <c r="AA629" s="196"/>
      <c r="AB629" s="196"/>
      <c r="AC629" s="196">
        <v>1</v>
      </c>
      <c r="AD629" s="196"/>
      <c r="AE629" s="196">
        <v>1</v>
      </c>
      <c r="AF629" s="196"/>
      <c r="AG629" s="172">
        <f t="shared" si="22"/>
        <v>20</v>
      </c>
      <c r="AH629" s="173">
        <f>D629-AG629</f>
        <v>10</v>
      </c>
    </row>
    <row r="630" spans="1:34" ht="36" hidden="1" x14ac:dyDescent="0.55000000000000004">
      <c r="A630" s="127">
        <v>654</v>
      </c>
      <c r="B630" s="155" t="s">
        <v>48</v>
      </c>
      <c r="C630" s="155" t="s">
        <v>1332</v>
      </c>
      <c r="D630" s="155">
        <v>47</v>
      </c>
      <c r="E630" s="196">
        <v>3</v>
      </c>
      <c r="F630" s="196">
        <v>3</v>
      </c>
      <c r="G630" s="196">
        <v>2</v>
      </c>
      <c r="H630" s="196"/>
      <c r="I630" s="196">
        <v>2</v>
      </c>
      <c r="J630" s="196">
        <v>4</v>
      </c>
      <c r="K630" s="196"/>
      <c r="L630" s="196">
        <v>2</v>
      </c>
      <c r="M630" s="196"/>
      <c r="N630" s="196">
        <v>4</v>
      </c>
      <c r="O630" s="196"/>
      <c r="P630" s="196"/>
      <c r="Q630" s="196"/>
      <c r="R630" s="196"/>
      <c r="S630" s="196">
        <v>3</v>
      </c>
      <c r="T630" s="196"/>
      <c r="U630" s="196"/>
      <c r="V630" s="196"/>
      <c r="W630" s="196">
        <v>4</v>
      </c>
      <c r="X630" s="196">
        <v>2</v>
      </c>
      <c r="Y630" s="196"/>
      <c r="Z630" s="196"/>
      <c r="AA630" s="196"/>
      <c r="AB630" s="196"/>
      <c r="AC630" s="196"/>
      <c r="AD630" s="171">
        <v>6</v>
      </c>
      <c r="AE630" s="171">
        <v>1</v>
      </c>
      <c r="AF630" s="171">
        <v>1</v>
      </c>
      <c r="AG630" s="172">
        <f t="shared" si="22"/>
        <v>34</v>
      </c>
      <c r="AH630" s="173">
        <f>D630-AG630</f>
        <v>13</v>
      </c>
    </row>
    <row r="631" spans="1:34" ht="36" hidden="1" x14ac:dyDescent="0.55000000000000004">
      <c r="A631" s="127">
        <v>655</v>
      </c>
      <c r="B631" s="155" t="s">
        <v>153</v>
      </c>
      <c r="C631" s="155" t="s">
        <v>1333</v>
      </c>
      <c r="D631" s="155">
        <v>49</v>
      </c>
      <c r="E631" s="196">
        <v>1</v>
      </c>
      <c r="F631" s="196">
        <v>1</v>
      </c>
      <c r="G631" s="196">
        <v>2</v>
      </c>
      <c r="H631" s="196"/>
      <c r="I631" s="196">
        <v>2</v>
      </c>
      <c r="J631" s="196">
        <v>2</v>
      </c>
      <c r="K631" s="196">
        <v>1</v>
      </c>
      <c r="L631" s="196">
        <v>2</v>
      </c>
      <c r="M631" s="196">
        <v>2</v>
      </c>
      <c r="N631" s="196">
        <v>7</v>
      </c>
      <c r="O631" s="196"/>
      <c r="P631" s="196"/>
      <c r="Q631" s="196">
        <v>2</v>
      </c>
      <c r="R631" s="196">
        <v>4</v>
      </c>
      <c r="S631" s="196">
        <v>2</v>
      </c>
      <c r="T631" s="196"/>
      <c r="U631" s="196"/>
      <c r="V631" s="196"/>
      <c r="W631" s="196">
        <v>5</v>
      </c>
      <c r="X631" s="196">
        <v>8</v>
      </c>
      <c r="Y631" s="196"/>
      <c r="Z631" s="196"/>
      <c r="AA631" s="196"/>
      <c r="AB631" s="196"/>
      <c r="AC631" s="196"/>
      <c r="AD631" s="196"/>
      <c r="AE631" s="196"/>
      <c r="AF631" s="196"/>
      <c r="AG631" s="172">
        <f t="shared" si="22"/>
        <v>40</v>
      </c>
      <c r="AH631" s="173">
        <f>D631-AG631</f>
        <v>9</v>
      </c>
    </row>
    <row r="632" spans="1:34" ht="36" hidden="1" x14ac:dyDescent="0.55000000000000004">
      <c r="A632" s="127">
        <v>658</v>
      </c>
      <c r="B632" s="155" t="s">
        <v>186</v>
      </c>
      <c r="C632" s="155" t="s">
        <v>1335</v>
      </c>
      <c r="D632" s="155">
        <v>36</v>
      </c>
      <c r="E632" s="196">
        <v>2</v>
      </c>
      <c r="F632" s="196"/>
      <c r="G632" s="196">
        <v>1</v>
      </c>
      <c r="H632" s="196"/>
      <c r="I632" s="196">
        <v>1</v>
      </c>
      <c r="J632" s="196">
        <v>1</v>
      </c>
      <c r="K632" s="196"/>
      <c r="L632" s="196">
        <v>5</v>
      </c>
      <c r="M632" s="196">
        <v>1</v>
      </c>
      <c r="N632" s="196">
        <v>6</v>
      </c>
      <c r="O632" s="196"/>
      <c r="P632" s="196"/>
      <c r="Q632" s="196"/>
      <c r="R632" s="196">
        <v>3</v>
      </c>
      <c r="S632" s="196">
        <v>1</v>
      </c>
      <c r="T632" s="196"/>
      <c r="U632" s="196"/>
      <c r="V632" s="196"/>
      <c r="W632" s="196">
        <v>6</v>
      </c>
      <c r="X632" s="196">
        <v>4</v>
      </c>
      <c r="Y632" s="196"/>
      <c r="Z632" s="196"/>
      <c r="AA632" s="196"/>
      <c r="AB632" s="196"/>
      <c r="AC632" s="196"/>
      <c r="AD632" s="196">
        <v>1</v>
      </c>
      <c r="AE632" s="196">
        <v>1</v>
      </c>
      <c r="AF632" s="196">
        <v>1</v>
      </c>
      <c r="AG632" s="172">
        <f t="shared" si="22"/>
        <v>32</v>
      </c>
      <c r="AH632" s="173">
        <f>D632-AG632</f>
        <v>4</v>
      </c>
    </row>
    <row r="633" spans="1:34" ht="36" hidden="1" x14ac:dyDescent="0.55000000000000004">
      <c r="A633" s="127">
        <v>659</v>
      </c>
      <c r="B633" s="155" t="s">
        <v>1336</v>
      </c>
      <c r="C633" s="155" t="s">
        <v>207</v>
      </c>
      <c r="D633" s="155">
        <v>55</v>
      </c>
      <c r="E633" s="196">
        <v>2</v>
      </c>
      <c r="F633" s="196"/>
      <c r="G633" s="196"/>
      <c r="H633" s="196"/>
      <c r="I633" s="196"/>
      <c r="J633" s="196"/>
      <c r="K633" s="196"/>
      <c r="L633" s="196">
        <v>6</v>
      </c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72">
        <f t="shared" si="22"/>
        <v>6</v>
      </c>
      <c r="AH633" s="173">
        <f>D633-AG633</f>
        <v>49</v>
      </c>
    </row>
    <row r="634" spans="1:34" ht="36" hidden="1" x14ac:dyDescent="0.55000000000000004">
      <c r="A634" s="127">
        <v>663</v>
      </c>
      <c r="B634" s="155" t="s">
        <v>1163</v>
      </c>
      <c r="C634" s="155" t="s">
        <v>1164</v>
      </c>
      <c r="D634" s="155">
        <v>30</v>
      </c>
      <c r="E634" s="196">
        <v>2</v>
      </c>
      <c r="F634" s="196"/>
      <c r="G634" s="196">
        <v>2</v>
      </c>
      <c r="H634" s="196"/>
      <c r="I634" s="196"/>
      <c r="J634" s="196">
        <v>6</v>
      </c>
      <c r="K634" s="196"/>
      <c r="L634" s="196">
        <v>2</v>
      </c>
      <c r="M634" s="196">
        <v>2</v>
      </c>
      <c r="N634" s="196">
        <v>4</v>
      </c>
      <c r="O634" s="196"/>
      <c r="P634" s="196"/>
      <c r="Q634" s="196"/>
      <c r="R634" s="196">
        <v>2</v>
      </c>
      <c r="S634" s="196">
        <v>1</v>
      </c>
      <c r="T634" s="196"/>
      <c r="U634" s="196"/>
      <c r="V634" s="196"/>
      <c r="W634" s="196">
        <v>2</v>
      </c>
      <c r="X634" s="196">
        <v>3</v>
      </c>
      <c r="Y634" s="196"/>
      <c r="Z634" s="196"/>
      <c r="AA634" s="196"/>
      <c r="AB634" s="196"/>
      <c r="AC634" s="196"/>
      <c r="AD634" s="196"/>
      <c r="AE634" s="196"/>
      <c r="AF634" s="196"/>
      <c r="AG634" s="172">
        <f t="shared" si="22"/>
        <v>24</v>
      </c>
      <c r="AH634" s="173">
        <f>D634-AG634</f>
        <v>6</v>
      </c>
    </row>
    <row r="635" spans="1:34" ht="36" hidden="1" x14ac:dyDescent="0.55000000000000004">
      <c r="A635" s="127">
        <v>664</v>
      </c>
      <c r="B635" s="155" t="s">
        <v>1337</v>
      </c>
      <c r="C635" s="155" t="s">
        <v>1338</v>
      </c>
      <c r="D635" s="155">
        <v>30</v>
      </c>
      <c r="E635" s="196">
        <v>2</v>
      </c>
      <c r="F635" s="196"/>
      <c r="G635" s="196">
        <v>2</v>
      </c>
      <c r="H635" s="196"/>
      <c r="I635" s="196"/>
      <c r="J635" s="196">
        <v>4</v>
      </c>
      <c r="K635" s="196"/>
      <c r="L635" s="196">
        <v>5</v>
      </c>
      <c r="M635" s="196"/>
      <c r="N635" s="196">
        <v>4</v>
      </c>
      <c r="O635" s="196"/>
      <c r="P635" s="196"/>
      <c r="Q635" s="196"/>
      <c r="R635" s="196">
        <v>2</v>
      </c>
      <c r="S635" s="196">
        <v>1</v>
      </c>
      <c r="T635" s="196"/>
      <c r="U635" s="196"/>
      <c r="V635" s="196"/>
      <c r="W635" s="196">
        <v>2</v>
      </c>
      <c r="X635" s="196">
        <v>2</v>
      </c>
      <c r="Y635" s="196"/>
      <c r="Z635" s="196"/>
      <c r="AA635" s="196"/>
      <c r="AB635" s="196"/>
      <c r="AC635" s="196"/>
      <c r="AD635" s="196"/>
      <c r="AE635" s="196"/>
      <c r="AF635" s="196"/>
      <c r="AG635" s="172">
        <f t="shared" si="22"/>
        <v>22</v>
      </c>
      <c r="AH635" s="173">
        <f>D635-AG635</f>
        <v>8</v>
      </c>
    </row>
    <row r="636" spans="1:34" ht="36" hidden="1" x14ac:dyDescent="0.55000000000000004">
      <c r="A636" s="127">
        <v>665</v>
      </c>
      <c r="B636" s="155" t="s">
        <v>1165</v>
      </c>
      <c r="C636" s="155" t="s">
        <v>1339</v>
      </c>
      <c r="D636" s="155">
        <v>30</v>
      </c>
      <c r="E636" s="196">
        <v>2</v>
      </c>
      <c r="F636" s="196"/>
      <c r="G636" s="196">
        <v>2</v>
      </c>
      <c r="H636" s="196"/>
      <c r="I636" s="196"/>
      <c r="J636" s="196">
        <v>4</v>
      </c>
      <c r="K636" s="196"/>
      <c r="L636" s="196">
        <v>3</v>
      </c>
      <c r="M636" s="196">
        <v>2</v>
      </c>
      <c r="N636" s="196">
        <v>4</v>
      </c>
      <c r="O636" s="196"/>
      <c r="P636" s="196"/>
      <c r="Q636" s="196"/>
      <c r="R636" s="196">
        <v>2</v>
      </c>
      <c r="S636" s="196">
        <v>1</v>
      </c>
      <c r="T636" s="196"/>
      <c r="U636" s="196"/>
      <c r="V636" s="196"/>
      <c r="W636" s="196">
        <v>2</v>
      </c>
      <c r="X636" s="196">
        <v>3</v>
      </c>
      <c r="Y636" s="196"/>
      <c r="Z636" s="196"/>
      <c r="AA636" s="196"/>
      <c r="AB636" s="196"/>
      <c r="AC636" s="196"/>
      <c r="AD636" s="196"/>
      <c r="AE636" s="196"/>
      <c r="AF636" s="196"/>
      <c r="AG636" s="172">
        <f t="shared" si="22"/>
        <v>23</v>
      </c>
      <c r="AH636" s="173">
        <f>D636-AG636</f>
        <v>7</v>
      </c>
    </row>
    <row r="637" spans="1:34" ht="36" hidden="1" x14ac:dyDescent="0.55000000000000004">
      <c r="A637" s="127">
        <v>666</v>
      </c>
      <c r="B637" s="155" t="s">
        <v>1348</v>
      </c>
      <c r="C637" s="155" t="s">
        <v>1340</v>
      </c>
      <c r="D637" s="155">
        <v>35</v>
      </c>
      <c r="E637" s="196">
        <v>3</v>
      </c>
      <c r="F637" s="196"/>
      <c r="G637" s="196">
        <v>2</v>
      </c>
      <c r="H637" s="196"/>
      <c r="I637" s="196"/>
      <c r="J637" s="196">
        <v>4</v>
      </c>
      <c r="K637" s="196"/>
      <c r="L637" s="196">
        <v>5</v>
      </c>
      <c r="M637" s="196"/>
      <c r="N637" s="196">
        <v>4</v>
      </c>
      <c r="O637" s="196"/>
      <c r="P637" s="196"/>
      <c r="Q637" s="196"/>
      <c r="R637" s="196">
        <v>2</v>
      </c>
      <c r="S637" s="196">
        <v>3</v>
      </c>
      <c r="T637" s="196"/>
      <c r="U637" s="196"/>
      <c r="V637" s="196"/>
      <c r="W637" s="196">
        <v>3</v>
      </c>
      <c r="X637" s="196">
        <v>2</v>
      </c>
      <c r="Y637" s="196"/>
      <c r="Z637" s="196"/>
      <c r="AA637" s="196"/>
      <c r="AB637" s="196"/>
      <c r="AC637" s="196"/>
      <c r="AD637" s="196"/>
      <c r="AE637" s="196"/>
      <c r="AF637" s="196"/>
      <c r="AG637" s="172">
        <f t="shared" si="22"/>
        <v>25</v>
      </c>
      <c r="AH637" s="173">
        <f>D637-AG637</f>
        <v>10</v>
      </c>
    </row>
    <row r="638" spans="1:34" ht="36" hidden="1" x14ac:dyDescent="0.55000000000000004">
      <c r="A638" s="127">
        <v>667</v>
      </c>
      <c r="B638" s="155" t="s">
        <v>1347</v>
      </c>
      <c r="C638" s="155" t="s">
        <v>1341</v>
      </c>
      <c r="D638" s="155">
        <v>35</v>
      </c>
      <c r="E638" s="196">
        <v>5</v>
      </c>
      <c r="F638" s="196"/>
      <c r="G638" s="196">
        <v>2</v>
      </c>
      <c r="H638" s="196"/>
      <c r="I638" s="196">
        <v>2</v>
      </c>
      <c r="J638" s="196"/>
      <c r="K638" s="196"/>
      <c r="L638" s="196">
        <v>5</v>
      </c>
      <c r="M638" s="196"/>
      <c r="N638" s="196">
        <v>4</v>
      </c>
      <c r="O638" s="196"/>
      <c r="P638" s="196"/>
      <c r="Q638" s="196"/>
      <c r="R638" s="196">
        <v>2</v>
      </c>
      <c r="S638" s="196">
        <v>3</v>
      </c>
      <c r="T638" s="196"/>
      <c r="U638" s="196"/>
      <c r="V638" s="196"/>
      <c r="W638" s="196">
        <v>2</v>
      </c>
      <c r="X638" s="196">
        <v>2</v>
      </c>
      <c r="Y638" s="196"/>
      <c r="Z638" s="196"/>
      <c r="AA638" s="196"/>
      <c r="AB638" s="196"/>
      <c r="AC638" s="196"/>
      <c r="AD638" s="196"/>
      <c r="AE638" s="196"/>
      <c r="AF638" s="196"/>
      <c r="AG638" s="172">
        <f t="shared" si="22"/>
        <v>22</v>
      </c>
      <c r="AH638" s="173">
        <f>D638-AG638</f>
        <v>13</v>
      </c>
    </row>
    <row r="639" spans="1:34" ht="36" hidden="1" x14ac:dyDescent="0.55000000000000004">
      <c r="A639" s="127">
        <v>668</v>
      </c>
      <c r="B639" s="155" t="s">
        <v>1346</v>
      </c>
      <c r="C639" s="155" t="s">
        <v>1342</v>
      </c>
      <c r="D639" s="155">
        <v>40</v>
      </c>
      <c r="E639" s="196">
        <v>4</v>
      </c>
      <c r="F639" s="196"/>
      <c r="G639" s="196">
        <v>2</v>
      </c>
      <c r="H639" s="196"/>
      <c r="I639" s="196"/>
      <c r="J639" s="196">
        <v>4</v>
      </c>
      <c r="K639" s="196"/>
      <c r="L639" s="196">
        <v>5</v>
      </c>
      <c r="M639" s="196"/>
      <c r="N639" s="196">
        <v>4</v>
      </c>
      <c r="O639" s="196"/>
      <c r="P639" s="196"/>
      <c r="Q639" s="196"/>
      <c r="R639" s="196">
        <v>2</v>
      </c>
      <c r="S639" s="196">
        <v>3</v>
      </c>
      <c r="T639" s="196"/>
      <c r="U639" s="196"/>
      <c r="V639" s="196"/>
      <c r="W639" s="196">
        <v>2</v>
      </c>
      <c r="X639" s="196">
        <v>2</v>
      </c>
      <c r="Y639" s="196"/>
      <c r="Z639" s="196"/>
      <c r="AA639" s="196"/>
      <c r="AB639" s="196"/>
      <c r="AC639" s="196"/>
      <c r="AD639" s="196"/>
      <c r="AE639" s="196"/>
      <c r="AF639" s="196"/>
      <c r="AG639" s="172">
        <f t="shared" si="22"/>
        <v>24</v>
      </c>
      <c r="AH639" s="173">
        <f>D639-AG639</f>
        <v>16</v>
      </c>
    </row>
    <row r="640" spans="1:34" ht="36" hidden="1" x14ac:dyDescent="0.55000000000000004">
      <c r="A640" s="127">
        <v>669</v>
      </c>
      <c r="B640" s="155" t="s">
        <v>1343</v>
      </c>
      <c r="C640" s="155" t="s">
        <v>1344</v>
      </c>
      <c r="D640" s="155">
        <v>30</v>
      </c>
      <c r="E640" s="196">
        <v>4</v>
      </c>
      <c r="F640" s="196"/>
      <c r="G640" s="196">
        <v>2</v>
      </c>
      <c r="H640" s="196"/>
      <c r="I640" s="196">
        <v>2</v>
      </c>
      <c r="J640" s="196">
        <v>4</v>
      </c>
      <c r="K640" s="196"/>
      <c r="L640" s="196">
        <v>5</v>
      </c>
      <c r="M640" s="196"/>
      <c r="N640" s="196">
        <v>2</v>
      </c>
      <c r="O640" s="196"/>
      <c r="P640" s="196"/>
      <c r="Q640" s="196"/>
      <c r="R640" s="196">
        <v>2</v>
      </c>
      <c r="S640" s="196">
        <v>1</v>
      </c>
      <c r="T640" s="196"/>
      <c r="U640" s="196"/>
      <c r="V640" s="196"/>
      <c r="W640" s="196">
        <v>2</v>
      </c>
      <c r="X640" s="196">
        <v>2</v>
      </c>
      <c r="Y640" s="196"/>
      <c r="Z640" s="196"/>
      <c r="AA640" s="196"/>
      <c r="AB640" s="196"/>
      <c r="AC640" s="196"/>
      <c r="AD640" s="196"/>
      <c r="AE640" s="196"/>
      <c r="AF640" s="196"/>
      <c r="AG640" s="172">
        <f t="shared" si="22"/>
        <v>22</v>
      </c>
      <c r="AH640" s="173">
        <f>D640-AG640</f>
        <v>8</v>
      </c>
    </row>
    <row r="641" spans="1:34" ht="36" hidden="1" x14ac:dyDescent="0.55000000000000004">
      <c r="A641" s="127">
        <v>673</v>
      </c>
      <c r="B641" s="155" t="s">
        <v>1349</v>
      </c>
      <c r="C641" s="155" t="s">
        <v>1350</v>
      </c>
      <c r="D641" s="155">
        <v>20</v>
      </c>
      <c r="E641" s="171">
        <v>1</v>
      </c>
      <c r="F641" s="196"/>
      <c r="G641" s="196"/>
      <c r="H641" s="196"/>
      <c r="I641" s="196"/>
      <c r="J641" s="196">
        <v>3</v>
      </c>
      <c r="K641" s="196"/>
      <c r="L641" s="196">
        <v>3</v>
      </c>
      <c r="M641" s="196"/>
      <c r="N641" s="196">
        <v>2</v>
      </c>
      <c r="O641" s="196"/>
      <c r="P641" s="196"/>
      <c r="Q641" s="196"/>
      <c r="R641" s="196"/>
      <c r="S641" s="196">
        <v>1</v>
      </c>
      <c r="T641" s="196"/>
      <c r="U641" s="196"/>
      <c r="V641" s="196"/>
      <c r="W641" s="196"/>
      <c r="X641" s="196">
        <v>2</v>
      </c>
      <c r="Y641" s="196"/>
      <c r="Z641" s="196"/>
      <c r="AA641" s="196"/>
      <c r="AB641" s="196"/>
      <c r="AC641" s="196"/>
      <c r="AD641" s="196"/>
      <c r="AE641" s="196"/>
      <c r="AF641" s="196"/>
      <c r="AG641" s="172"/>
      <c r="AH641" s="173"/>
    </row>
    <row r="642" spans="1:34" ht="36" hidden="1" x14ac:dyDescent="0.55000000000000004">
      <c r="A642" s="127">
        <v>674</v>
      </c>
      <c r="B642" s="155" t="s">
        <v>1351</v>
      </c>
      <c r="C642" s="155" t="s">
        <v>1352</v>
      </c>
      <c r="D642" s="155">
        <v>6</v>
      </c>
      <c r="E642" s="196">
        <v>1</v>
      </c>
      <c r="F642" s="196"/>
      <c r="G642" s="196">
        <v>1</v>
      </c>
      <c r="H642" s="196"/>
      <c r="I642" s="196"/>
      <c r="J642" s="196"/>
      <c r="K642" s="196"/>
      <c r="L642" s="196">
        <v>4</v>
      </c>
      <c r="M642" s="196"/>
      <c r="N642" s="196">
        <v>1</v>
      </c>
      <c r="O642" s="196"/>
      <c r="P642" s="196"/>
      <c r="Q642" s="196"/>
      <c r="R642" s="196"/>
      <c r="S642" s="196"/>
      <c r="T642" s="196"/>
      <c r="U642" s="196"/>
      <c r="V642" s="196"/>
      <c r="W642" s="196"/>
      <c r="X642" s="196">
        <v>1</v>
      </c>
      <c r="Y642" s="196"/>
      <c r="Z642" s="196"/>
      <c r="AA642" s="196"/>
      <c r="AB642" s="196"/>
      <c r="AC642" s="196"/>
      <c r="AD642" s="196"/>
      <c r="AE642" s="196"/>
      <c r="AF642" s="196"/>
      <c r="AG642" s="172"/>
      <c r="AH642" s="173"/>
    </row>
    <row r="643" spans="1:34" ht="36" hidden="1" x14ac:dyDescent="0.55000000000000004">
      <c r="A643" s="127">
        <v>675</v>
      </c>
      <c r="B643" s="155" t="s">
        <v>1353</v>
      </c>
      <c r="C643" s="155" t="s">
        <v>1354</v>
      </c>
      <c r="D643" s="155">
        <v>24</v>
      </c>
      <c r="E643" s="196"/>
      <c r="F643" s="196"/>
      <c r="G643" s="196">
        <v>2</v>
      </c>
      <c r="H643" s="196"/>
      <c r="I643" s="196"/>
      <c r="J643" s="196">
        <v>4</v>
      </c>
      <c r="K643" s="196"/>
      <c r="L643" s="196"/>
      <c r="M643" s="196"/>
      <c r="N643" s="196">
        <v>4</v>
      </c>
      <c r="O643" s="196"/>
      <c r="P643" s="196"/>
      <c r="Q643" s="196"/>
      <c r="R643" s="196"/>
      <c r="S643" s="196">
        <v>2</v>
      </c>
      <c r="T643" s="196"/>
      <c r="U643" s="196"/>
      <c r="V643" s="196"/>
      <c r="W643" s="196"/>
      <c r="X643" s="196">
        <v>3</v>
      </c>
      <c r="Y643" s="196"/>
      <c r="Z643" s="196"/>
      <c r="AA643" s="196"/>
      <c r="AB643" s="196"/>
      <c r="AC643" s="196"/>
      <c r="AD643" s="196"/>
      <c r="AE643" s="196"/>
      <c r="AF643" s="196"/>
      <c r="AG643" s="172"/>
      <c r="AH643" s="173"/>
    </row>
    <row r="644" spans="1:34" ht="36" hidden="1" x14ac:dyDescent="0.55000000000000004">
      <c r="A644" s="127">
        <v>676</v>
      </c>
      <c r="B644" s="158" t="s">
        <v>1355</v>
      </c>
      <c r="C644" s="159" t="s">
        <v>1356</v>
      </c>
      <c r="D644" s="160">
        <v>5</v>
      </c>
      <c r="E644" s="196"/>
      <c r="F644" s="171"/>
      <c r="G644" s="171"/>
      <c r="H644" s="171"/>
      <c r="I644" s="171"/>
      <c r="J644" s="171">
        <v>1</v>
      </c>
      <c r="K644" s="171"/>
      <c r="L644" s="171"/>
      <c r="M644" s="171"/>
      <c r="N644" s="171">
        <v>2</v>
      </c>
      <c r="O644" s="171"/>
      <c r="P644" s="171"/>
      <c r="Q644" s="171"/>
      <c r="R644" s="171"/>
      <c r="S644" s="171"/>
      <c r="T644" s="171"/>
      <c r="U644" s="171"/>
      <c r="V644" s="171"/>
      <c r="W644" s="171"/>
      <c r="X644" s="171">
        <v>1</v>
      </c>
      <c r="Y644" s="171"/>
      <c r="Z644" s="171"/>
      <c r="AA644" s="171"/>
      <c r="AB644" s="171"/>
      <c r="AC644" s="171"/>
      <c r="AD644" s="171"/>
      <c r="AE644" s="171"/>
      <c r="AF644" s="171"/>
      <c r="AG644" s="172"/>
      <c r="AH644" s="173"/>
    </row>
    <row r="645" spans="1:34" ht="35.25" hidden="1" x14ac:dyDescent="0.5">
      <c r="A645" s="127">
        <v>677</v>
      </c>
      <c r="B645" s="158" t="s">
        <v>1357</v>
      </c>
      <c r="C645" s="159" t="s">
        <v>1358</v>
      </c>
      <c r="D645" s="160">
        <v>5</v>
      </c>
      <c r="E645" s="171"/>
      <c r="F645" s="171"/>
      <c r="G645" s="171"/>
      <c r="H645" s="171"/>
      <c r="I645" s="171"/>
      <c r="J645" s="171">
        <v>1</v>
      </c>
      <c r="K645" s="171"/>
      <c r="L645" s="171"/>
      <c r="M645" s="171"/>
      <c r="N645" s="171">
        <v>1</v>
      </c>
      <c r="O645" s="171"/>
      <c r="P645" s="171"/>
      <c r="Q645" s="171"/>
      <c r="R645" s="171"/>
      <c r="S645" s="171"/>
      <c r="T645" s="171"/>
      <c r="U645" s="171"/>
      <c r="V645" s="171"/>
      <c r="W645" s="171">
        <v>2</v>
      </c>
      <c r="X645" s="171">
        <v>1</v>
      </c>
      <c r="Y645" s="171"/>
      <c r="Z645" s="171"/>
      <c r="AA645" s="171"/>
      <c r="AB645" s="171"/>
      <c r="AC645" s="171"/>
      <c r="AD645" s="171"/>
      <c r="AE645" s="171"/>
      <c r="AF645" s="171"/>
      <c r="AG645" s="172"/>
      <c r="AH645" s="173"/>
    </row>
    <row r="646" spans="1:34" ht="46.5" hidden="1" x14ac:dyDescent="0.7">
      <c r="A646" s="127">
        <v>678</v>
      </c>
      <c r="B646" s="161" t="s">
        <v>1359</v>
      </c>
      <c r="C646" s="162" t="s">
        <v>1360</v>
      </c>
      <c r="D646" s="163">
        <v>24</v>
      </c>
      <c r="E646" s="171"/>
      <c r="F646" s="171"/>
      <c r="G646" s="171"/>
      <c r="H646" s="171"/>
      <c r="I646" s="171"/>
      <c r="J646" s="171"/>
      <c r="K646" s="171"/>
      <c r="L646" s="171"/>
      <c r="M646" s="171"/>
      <c r="N646" s="171">
        <v>9</v>
      </c>
      <c r="O646" s="171"/>
      <c r="P646" s="171"/>
      <c r="Q646" s="171"/>
      <c r="R646" s="171"/>
      <c r="S646" s="171"/>
      <c r="T646" s="171"/>
      <c r="U646" s="171"/>
      <c r="V646" s="171"/>
      <c r="W646" s="171">
        <v>6</v>
      </c>
      <c r="X646" s="171">
        <v>3</v>
      </c>
      <c r="Y646" s="171"/>
      <c r="Z646" s="171"/>
      <c r="AA646" s="171"/>
      <c r="AB646" s="171"/>
      <c r="AC646" s="171"/>
      <c r="AD646" s="171"/>
      <c r="AE646" s="171"/>
      <c r="AF646" s="171"/>
      <c r="AG646" s="172">
        <f t="shared" ref="AG646" si="23">SUM(F646:AF646)</f>
        <v>18</v>
      </c>
      <c r="AH646" s="173">
        <f>D646-AG646</f>
        <v>6</v>
      </c>
    </row>
    <row r="647" spans="1:34" ht="35.25" hidden="1" x14ac:dyDescent="0.5">
      <c r="A647" s="127">
        <v>678</v>
      </c>
      <c r="B647" s="156" t="s">
        <v>1345</v>
      </c>
      <c r="C647" s="156" t="s">
        <v>79</v>
      </c>
      <c r="D647" s="156">
        <v>10</v>
      </c>
      <c r="E647" s="171"/>
      <c r="F647" s="171"/>
      <c r="G647" s="171"/>
      <c r="H647" s="171"/>
      <c r="I647" s="171"/>
      <c r="J647" s="171"/>
      <c r="K647" s="171"/>
      <c r="L647" s="171">
        <v>1</v>
      </c>
      <c r="M647" s="171"/>
      <c r="N647" s="171">
        <v>1</v>
      </c>
      <c r="O647" s="171"/>
      <c r="P647" s="171"/>
      <c r="Q647" s="171"/>
      <c r="R647" s="171">
        <v>2</v>
      </c>
      <c r="S647" s="171"/>
      <c r="T647" s="171"/>
      <c r="U647" s="171"/>
      <c r="V647" s="171"/>
      <c r="W647" s="171"/>
      <c r="X647" s="171">
        <v>1</v>
      </c>
      <c r="Y647" s="171"/>
      <c r="Z647" s="171"/>
      <c r="AA647" s="171"/>
      <c r="AB647" s="171"/>
      <c r="AC647" s="171"/>
      <c r="AD647" s="171"/>
      <c r="AE647" s="171"/>
      <c r="AF647" s="171"/>
      <c r="AG647" s="172">
        <f t="shared" ref="AG647:AG648" si="24">SUM(F647:AF647)</f>
        <v>5</v>
      </c>
      <c r="AH647" s="173">
        <f>D647-AG647</f>
        <v>5</v>
      </c>
    </row>
    <row r="648" spans="1:34" ht="35.25" hidden="1" x14ac:dyDescent="0.5">
      <c r="A648" s="127">
        <v>680</v>
      </c>
      <c r="B648" s="164" t="s">
        <v>1334</v>
      </c>
      <c r="C648" s="164" t="s">
        <v>79</v>
      </c>
      <c r="D648" s="164">
        <v>10</v>
      </c>
      <c r="E648" s="171"/>
      <c r="F648" s="171"/>
      <c r="G648" s="171"/>
      <c r="H648" s="171"/>
      <c r="I648" s="171"/>
      <c r="J648" s="171">
        <v>1</v>
      </c>
      <c r="K648" s="171"/>
      <c r="L648" s="171">
        <v>1</v>
      </c>
      <c r="M648" s="171"/>
      <c r="N648" s="171"/>
      <c r="O648" s="171"/>
      <c r="P648" s="171"/>
      <c r="Q648" s="171"/>
      <c r="R648" s="171">
        <v>1</v>
      </c>
      <c r="S648" s="171">
        <v>1</v>
      </c>
      <c r="T648" s="171"/>
      <c r="U648" s="171"/>
      <c r="V648" s="171"/>
      <c r="W648" s="171">
        <v>1</v>
      </c>
      <c r="X648" s="171">
        <v>2</v>
      </c>
      <c r="Y648" s="171"/>
      <c r="Z648" s="171"/>
      <c r="AA648" s="171"/>
      <c r="AB648" s="171"/>
      <c r="AC648" s="171"/>
      <c r="AD648" s="171"/>
      <c r="AE648" s="171"/>
      <c r="AF648" s="171"/>
      <c r="AG648" s="172">
        <f t="shared" si="24"/>
        <v>7</v>
      </c>
      <c r="AH648" s="173">
        <f>D648-AG648</f>
        <v>3</v>
      </c>
    </row>
    <row r="649" spans="1:34" ht="36" hidden="1" x14ac:dyDescent="0.55000000000000004">
      <c r="A649" s="127">
        <v>685</v>
      </c>
      <c r="B649" s="165" t="s">
        <v>1362</v>
      </c>
      <c r="C649" s="165" t="s">
        <v>1363</v>
      </c>
      <c r="D649" s="165">
        <v>22</v>
      </c>
      <c r="E649" s="180">
        <v>2</v>
      </c>
      <c r="F649" s="180"/>
      <c r="G649" s="180"/>
      <c r="H649" s="180"/>
      <c r="I649" s="180"/>
      <c r="J649" s="180">
        <v>5</v>
      </c>
      <c r="K649" s="180"/>
      <c r="L649" s="180">
        <v>2</v>
      </c>
      <c r="M649" s="180">
        <v>3</v>
      </c>
      <c r="N649" s="180"/>
      <c r="O649" s="180"/>
      <c r="P649" s="180"/>
      <c r="Q649" s="180"/>
      <c r="R649" s="180">
        <v>2</v>
      </c>
      <c r="S649" s="180">
        <v>1</v>
      </c>
      <c r="T649" s="180"/>
      <c r="U649" s="180"/>
      <c r="V649" s="180"/>
      <c r="W649" s="180">
        <v>3</v>
      </c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72">
        <f t="shared" ref="AG649:AG688" si="25">SUM(F649:AF649)</f>
        <v>16</v>
      </c>
      <c r="AH649" s="173">
        <f>D649-AG649</f>
        <v>6</v>
      </c>
    </row>
    <row r="650" spans="1:34" ht="36" hidden="1" x14ac:dyDescent="0.55000000000000004">
      <c r="A650" s="127">
        <v>686</v>
      </c>
      <c r="B650" s="165" t="s">
        <v>1364</v>
      </c>
      <c r="C650" s="165" t="s">
        <v>1365</v>
      </c>
      <c r="D650" s="165">
        <v>10</v>
      </c>
      <c r="E650" s="180">
        <v>1</v>
      </c>
      <c r="F650" s="180"/>
      <c r="G650" s="180"/>
      <c r="H650" s="180"/>
      <c r="I650" s="180"/>
      <c r="J650" s="180">
        <v>2</v>
      </c>
      <c r="K650" s="180"/>
      <c r="L650" s="180"/>
      <c r="M650" s="180"/>
      <c r="N650" s="180"/>
      <c r="O650" s="180"/>
      <c r="P650" s="180"/>
      <c r="Q650" s="180"/>
      <c r="R650" s="180">
        <v>4</v>
      </c>
      <c r="S650" s="180">
        <v>1</v>
      </c>
      <c r="T650" s="180"/>
      <c r="U650" s="180"/>
      <c r="V650" s="180"/>
      <c r="W650" s="180">
        <v>1</v>
      </c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72">
        <f t="shared" si="25"/>
        <v>8</v>
      </c>
      <c r="AH650" s="173">
        <f>D650-AG650</f>
        <v>2</v>
      </c>
    </row>
    <row r="651" spans="1:34" ht="36" hidden="1" x14ac:dyDescent="0.55000000000000004">
      <c r="A651" s="127">
        <v>687</v>
      </c>
      <c r="B651" s="165" t="s">
        <v>1366</v>
      </c>
      <c r="C651" s="165" t="s">
        <v>1162</v>
      </c>
      <c r="D651" s="165">
        <v>3</v>
      </c>
      <c r="E651" s="180"/>
      <c r="F651" s="180"/>
      <c r="G651" s="180"/>
      <c r="H651" s="180"/>
      <c r="I651" s="180"/>
      <c r="J651" s="180">
        <v>1</v>
      </c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>
        <v>1</v>
      </c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72">
        <f t="shared" si="25"/>
        <v>2</v>
      </c>
      <c r="AH651" s="173">
        <f>D651-AG651</f>
        <v>1</v>
      </c>
    </row>
    <row r="652" spans="1:34" ht="36" hidden="1" x14ac:dyDescent="0.55000000000000004">
      <c r="A652" s="127">
        <v>688</v>
      </c>
      <c r="B652" s="165" t="s">
        <v>44</v>
      </c>
      <c r="C652" s="165" t="s">
        <v>45</v>
      </c>
      <c r="D652" s="165">
        <v>6</v>
      </c>
      <c r="E652" s="180">
        <v>1</v>
      </c>
      <c r="F652" s="180"/>
      <c r="G652" s="180"/>
      <c r="H652" s="180"/>
      <c r="I652" s="180"/>
      <c r="J652" s="180"/>
      <c r="K652" s="180"/>
      <c r="L652" s="180"/>
      <c r="M652" s="180"/>
      <c r="N652" s="180">
        <v>1</v>
      </c>
      <c r="O652" s="180"/>
      <c r="P652" s="180"/>
      <c r="Q652" s="171">
        <v>1</v>
      </c>
      <c r="R652" s="171">
        <v>1</v>
      </c>
      <c r="S652" s="180"/>
      <c r="T652" s="180"/>
      <c r="U652" s="180"/>
      <c r="V652" s="180"/>
      <c r="W652" s="180">
        <v>1</v>
      </c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72">
        <f t="shared" si="25"/>
        <v>4</v>
      </c>
      <c r="AH652" s="173">
        <f>D652-AG652</f>
        <v>2</v>
      </c>
    </row>
    <row r="653" spans="1:34" ht="36" hidden="1" x14ac:dyDescent="0.55000000000000004">
      <c r="A653" s="127">
        <v>689</v>
      </c>
      <c r="B653" s="165" t="s">
        <v>46</v>
      </c>
      <c r="C653" s="165" t="s">
        <v>47</v>
      </c>
      <c r="D653" s="165">
        <v>6</v>
      </c>
      <c r="E653" s="180">
        <v>2</v>
      </c>
      <c r="F653" s="180">
        <v>1</v>
      </c>
      <c r="G653" s="180"/>
      <c r="H653" s="180"/>
      <c r="I653" s="180"/>
      <c r="J653" s="180">
        <v>1</v>
      </c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>
        <v>1</v>
      </c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72">
        <f>SUM(E653:AF653)</f>
        <v>5</v>
      </c>
      <c r="AH653" s="173">
        <f>D653-AG653</f>
        <v>1</v>
      </c>
    </row>
    <row r="654" spans="1:34" ht="36" hidden="1" x14ac:dyDescent="0.55000000000000004">
      <c r="A654" s="127">
        <v>690</v>
      </c>
      <c r="B654" s="165" t="s">
        <v>1367</v>
      </c>
      <c r="C654" s="165" t="s">
        <v>1368</v>
      </c>
      <c r="D654" s="165">
        <v>5</v>
      </c>
      <c r="E654" s="180">
        <v>1</v>
      </c>
      <c r="F654" s="180"/>
      <c r="G654" s="180"/>
      <c r="H654" s="180"/>
      <c r="I654" s="180"/>
      <c r="J654" s="180">
        <v>1</v>
      </c>
      <c r="K654" s="180"/>
      <c r="L654" s="180"/>
      <c r="M654" s="180"/>
      <c r="N654" s="180"/>
      <c r="O654" s="180"/>
      <c r="P654" s="180"/>
      <c r="Q654" s="180"/>
      <c r="R654" s="180">
        <v>1</v>
      </c>
      <c r="S654" s="180">
        <v>1</v>
      </c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72">
        <f t="shared" si="25"/>
        <v>3</v>
      </c>
      <c r="AH654" s="173">
        <f>D654-AG654</f>
        <v>2</v>
      </c>
    </row>
    <row r="655" spans="1:34" ht="36" hidden="1" x14ac:dyDescent="0.55000000000000004">
      <c r="A655" s="127">
        <v>691</v>
      </c>
      <c r="B655" s="165" t="s">
        <v>54</v>
      </c>
      <c r="C655" s="165" t="s">
        <v>1369</v>
      </c>
      <c r="D655" s="165">
        <v>10</v>
      </c>
      <c r="E655" s="180"/>
      <c r="F655" s="180"/>
      <c r="G655" s="180"/>
      <c r="H655" s="180"/>
      <c r="I655" s="180"/>
      <c r="J655" s="180">
        <v>2</v>
      </c>
      <c r="K655" s="180"/>
      <c r="L655" s="180"/>
      <c r="M655" s="180"/>
      <c r="N655" s="180">
        <v>1</v>
      </c>
      <c r="O655" s="180"/>
      <c r="P655" s="180"/>
      <c r="Q655" s="180"/>
      <c r="R655" s="180">
        <v>3</v>
      </c>
      <c r="S655" s="180"/>
      <c r="T655" s="180"/>
      <c r="U655" s="180"/>
      <c r="V655" s="180"/>
      <c r="W655" s="180">
        <v>1</v>
      </c>
      <c r="X655" s="180">
        <v>1</v>
      </c>
      <c r="Y655" s="180"/>
      <c r="Z655" s="180"/>
      <c r="AA655" s="180"/>
      <c r="AB655" s="180"/>
      <c r="AC655" s="180"/>
      <c r="AD655" s="180"/>
      <c r="AE655" s="180">
        <v>1</v>
      </c>
      <c r="AF655" s="180"/>
      <c r="AG655" s="172">
        <f t="shared" si="25"/>
        <v>9</v>
      </c>
      <c r="AH655" s="173">
        <f>D655-AG655</f>
        <v>1</v>
      </c>
    </row>
    <row r="656" spans="1:34" ht="36" hidden="1" x14ac:dyDescent="0.55000000000000004">
      <c r="A656" s="127">
        <v>692</v>
      </c>
      <c r="B656" s="165" t="s">
        <v>56</v>
      </c>
      <c r="C656" s="165" t="s">
        <v>1370</v>
      </c>
      <c r="D656" s="165">
        <v>5</v>
      </c>
      <c r="E656" s="180">
        <v>1</v>
      </c>
      <c r="F656" s="180">
        <v>1</v>
      </c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>
        <v>2</v>
      </c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72">
        <f>SUM(E656:AF656)</f>
        <v>4</v>
      </c>
      <c r="AH656" s="173">
        <f>D656-AG656</f>
        <v>1</v>
      </c>
    </row>
    <row r="657" spans="1:34" ht="36" hidden="1" x14ac:dyDescent="0.55000000000000004">
      <c r="A657" s="127">
        <v>694</v>
      </c>
      <c r="B657" s="165" t="s">
        <v>951</v>
      </c>
      <c r="C657" s="165" t="s">
        <v>1371</v>
      </c>
      <c r="D657" s="165">
        <v>3</v>
      </c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>
        <v>1</v>
      </c>
      <c r="T657" s="180"/>
      <c r="U657" s="180"/>
      <c r="V657" s="180"/>
      <c r="W657" s="180">
        <v>1</v>
      </c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72">
        <f t="shared" si="25"/>
        <v>2</v>
      </c>
      <c r="AH657" s="173">
        <f>D657-AG657</f>
        <v>1</v>
      </c>
    </row>
    <row r="658" spans="1:34" ht="36" hidden="1" x14ac:dyDescent="0.55000000000000004">
      <c r="A658" s="127">
        <v>697</v>
      </c>
      <c r="B658" s="165" t="s">
        <v>66</v>
      </c>
      <c r="C658" s="165" t="s">
        <v>1372</v>
      </c>
      <c r="D658" s="165">
        <v>4</v>
      </c>
      <c r="E658" s="180">
        <v>1</v>
      </c>
      <c r="F658" s="180"/>
      <c r="G658" s="180"/>
      <c r="H658" s="180"/>
      <c r="I658" s="180"/>
      <c r="J658" s="180"/>
      <c r="K658" s="180"/>
      <c r="L658" s="180">
        <v>2</v>
      </c>
      <c r="M658" s="180"/>
      <c r="N658" s="180"/>
      <c r="O658" s="180"/>
      <c r="P658" s="180"/>
      <c r="Q658" s="180"/>
      <c r="R658" s="180"/>
      <c r="S658" s="180">
        <v>1</v>
      </c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72">
        <f t="shared" si="25"/>
        <v>3</v>
      </c>
      <c r="AH658" s="173">
        <f>D658-AG658</f>
        <v>1</v>
      </c>
    </row>
    <row r="659" spans="1:34" ht="36" hidden="1" x14ac:dyDescent="0.55000000000000004">
      <c r="A659" s="127">
        <v>698</v>
      </c>
      <c r="B659" s="166" t="s">
        <v>1373</v>
      </c>
      <c r="C659" s="167" t="s">
        <v>1374</v>
      </c>
      <c r="D659" s="167">
        <v>1</v>
      </c>
      <c r="E659" s="180"/>
      <c r="F659" s="180"/>
      <c r="G659" s="180"/>
      <c r="H659" s="180"/>
      <c r="I659" s="180"/>
      <c r="J659" s="180">
        <v>1</v>
      </c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72" t="s">
        <v>1029</v>
      </c>
      <c r="AH659" s="173" t="e">
        <f>D659-AG659</f>
        <v>#VALUE!</v>
      </c>
    </row>
    <row r="660" spans="1:34" ht="36" hidden="1" x14ac:dyDescent="0.55000000000000004">
      <c r="A660" s="127">
        <v>701</v>
      </c>
      <c r="B660" s="168" t="s">
        <v>1005</v>
      </c>
      <c r="C660" s="168" t="s">
        <v>1006</v>
      </c>
      <c r="D660" s="169">
        <v>5</v>
      </c>
      <c r="E660" s="171"/>
      <c r="F660" s="180"/>
      <c r="G660" s="180"/>
      <c r="H660" s="180"/>
      <c r="I660" s="180">
        <v>2</v>
      </c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>
        <v>1</v>
      </c>
      <c r="Y660" s="180"/>
      <c r="Z660" s="180"/>
      <c r="AA660" s="180"/>
      <c r="AB660" s="180"/>
      <c r="AC660" s="180"/>
      <c r="AD660" s="180"/>
      <c r="AE660" s="180"/>
      <c r="AF660" s="180"/>
      <c r="AG660" s="172">
        <f t="shared" si="25"/>
        <v>3</v>
      </c>
      <c r="AH660" s="173">
        <f>D660-AG660</f>
        <v>2</v>
      </c>
    </row>
    <row r="661" spans="1:34" ht="36" hidden="1" x14ac:dyDescent="0.55000000000000004">
      <c r="A661" s="127">
        <v>702</v>
      </c>
      <c r="B661" s="168" t="s">
        <v>1379</v>
      </c>
      <c r="C661" s="168" t="s">
        <v>1380</v>
      </c>
      <c r="D661" s="169">
        <v>50</v>
      </c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72">
        <f t="shared" si="25"/>
        <v>0</v>
      </c>
      <c r="AH661" s="173">
        <f>D661-AG661</f>
        <v>50</v>
      </c>
    </row>
    <row r="662" spans="1:34" ht="36" hidden="1" x14ac:dyDescent="0.55000000000000004">
      <c r="A662" s="127">
        <v>703</v>
      </c>
      <c r="B662" s="168" t="s">
        <v>912</v>
      </c>
      <c r="C662" s="168" t="s">
        <v>913</v>
      </c>
      <c r="D662" s="169">
        <v>50</v>
      </c>
      <c r="E662" s="180">
        <v>4</v>
      </c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>
        <v>12</v>
      </c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72">
        <f t="shared" si="25"/>
        <v>12</v>
      </c>
      <c r="AH662" s="173">
        <f>D662-AG662</f>
        <v>38</v>
      </c>
    </row>
    <row r="663" spans="1:34" ht="36" hidden="1" x14ac:dyDescent="0.55000000000000004">
      <c r="A663" s="127">
        <v>704</v>
      </c>
      <c r="B663" s="170" t="s">
        <v>1381</v>
      </c>
      <c r="C663" s="170" t="s">
        <v>1382</v>
      </c>
      <c r="D663" s="169">
        <v>10</v>
      </c>
      <c r="E663" s="180">
        <v>3</v>
      </c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72">
        <f t="shared" si="25"/>
        <v>0</v>
      </c>
      <c r="AH663" s="173">
        <f>D663-AG663</f>
        <v>10</v>
      </c>
    </row>
    <row r="664" spans="1:34" ht="68.25" hidden="1" x14ac:dyDescent="0.55000000000000004">
      <c r="A664" s="127">
        <v>705</v>
      </c>
      <c r="B664" s="170" t="s">
        <v>1383</v>
      </c>
      <c r="C664" s="170" t="s">
        <v>1384</v>
      </c>
      <c r="D664" s="169">
        <v>10</v>
      </c>
      <c r="E664" s="180">
        <v>3</v>
      </c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72">
        <f t="shared" si="25"/>
        <v>0</v>
      </c>
      <c r="AH664" s="173">
        <f>D664-AG664</f>
        <v>10</v>
      </c>
    </row>
    <row r="665" spans="1:34" ht="36" hidden="1" x14ac:dyDescent="0.55000000000000004">
      <c r="A665" s="127">
        <v>706</v>
      </c>
      <c r="B665" s="170" t="s">
        <v>1385</v>
      </c>
      <c r="C665" s="170" t="s">
        <v>916</v>
      </c>
      <c r="D665" s="169">
        <v>10</v>
      </c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72">
        <f t="shared" si="25"/>
        <v>0</v>
      </c>
      <c r="AH665" s="173">
        <f>D665-AG665</f>
        <v>10</v>
      </c>
    </row>
    <row r="666" spans="1:34" ht="36" hidden="1" x14ac:dyDescent="0.55000000000000004">
      <c r="A666" s="127">
        <v>707</v>
      </c>
      <c r="B666" s="170" t="s">
        <v>789</v>
      </c>
      <c r="C666" s="170" t="s">
        <v>790</v>
      </c>
      <c r="D666" s="169">
        <v>20</v>
      </c>
      <c r="E666" s="180"/>
      <c r="F666" s="180"/>
      <c r="G666" s="180"/>
      <c r="H666" s="180"/>
      <c r="I666" s="180"/>
      <c r="J666" s="180">
        <v>5</v>
      </c>
      <c r="K666" s="180"/>
      <c r="L666" s="180"/>
      <c r="M666" s="180">
        <v>5</v>
      </c>
      <c r="N666" s="180"/>
      <c r="O666" s="180"/>
      <c r="P666" s="180"/>
      <c r="Q666" s="180"/>
      <c r="R666" s="180">
        <v>5</v>
      </c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72">
        <f t="shared" si="25"/>
        <v>15</v>
      </c>
      <c r="AH666" s="173">
        <f>D666-AG666</f>
        <v>5</v>
      </c>
    </row>
    <row r="667" spans="1:34" ht="36" hidden="1" x14ac:dyDescent="0.55000000000000004">
      <c r="A667" s="127">
        <v>708</v>
      </c>
      <c r="B667" s="170" t="s">
        <v>691</v>
      </c>
      <c r="C667" s="170" t="s">
        <v>1386</v>
      </c>
      <c r="D667" s="169">
        <v>20</v>
      </c>
      <c r="E667" s="180"/>
      <c r="F667" s="180"/>
      <c r="G667" s="180"/>
      <c r="H667" s="180"/>
      <c r="I667" s="180">
        <v>5</v>
      </c>
      <c r="J667" s="180">
        <v>5</v>
      </c>
      <c r="K667" s="180"/>
      <c r="L667" s="180"/>
      <c r="M667" s="180"/>
      <c r="N667" s="180"/>
      <c r="O667" s="180"/>
      <c r="P667" s="180"/>
      <c r="Q667" s="180"/>
      <c r="R667" s="180">
        <v>5</v>
      </c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72">
        <f t="shared" si="25"/>
        <v>15</v>
      </c>
      <c r="AH667" s="173">
        <f>D667-AG667</f>
        <v>5</v>
      </c>
    </row>
    <row r="668" spans="1:34" ht="36" hidden="1" x14ac:dyDescent="0.55000000000000004">
      <c r="A668" s="127">
        <v>709</v>
      </c>
      <c r="B668" s="170" t="s">
        <v>1387</v>
      </c>
      <c r="C668" s="170" t="s">
        <v>1388</v>
      </c>
      <c r="D668" s="169">
        <v>20</v>
      </c>
      <c r="E668" s="180"/>
      <c r="F668" s="180"/>
      <c r="G668" s="180"/>
      <c r="H668" s="180"/>
      <c r="I668" s="180">
        <v>10</v>
      </c>
      <c r="J668" s="180">
        <v>5</v>
      </c>
      <c r="K668" s="180"/>
      <c r="L668" s="180"/>
      <c r="M668" s="180"/>
      <c r="N668" s="180"/>
      <c r="O668" s="180"/>
      <c r="P668" s="180"/>
      <c r="Q668" s="180"/>
      <c r="R668" s="180">
        <v>5</v>
      </c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72">
        <f t="shared" si="25"/>
        <v>20</v>
      </c>
      <c r="AH668" s="173">
        <f>D668-AG668</f>
        <v>0</v>
      </c>
    </row>
    <row r="669" spans="1:34" ht="36" hidden="1" x14ac:dyDescent="0.55000000000000004">
      <c r="A669" s="127">
        <v>710</v>
      </c>
      <c r="B669" s="170" t="s">
        <v>705</v>
      </c>
      <c r="C669" s="170" t="s">
        <v>1389</v>
      </c>
      <c r="D669" s="169">
        <v>20</v>
      </c>
      <c r="E669" s="180"/>
      <c r="F669" s="180"/>
      <c r="G669" s="180"/>
      <c r="H669" s="180"/>
      <c r="I669" s="180"/>
      <c r="J669" s="180">
        <v>5</v>
      </c>
      <c r="K669" s="180"/>
      <c r="L669" s="180"/>
      <c r="M669" s="180">
        <v>5</v>
      </c>
      <c r="N669" s="180"/>
      <c r="O669" s="180"/>
      <c r="P669" s="180"/>
      <c r="Q669" s="180"/>
      <c r="R669" s="180">
        <v>5</v>
      </c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72">
        <f t="shared" si="25"/>
        <v>15</v>
      </c>
      <c r="AH669" s="173">
        <f>D669-AG669</f>
        <v>5</v>
      </c>
    </row>
    <row r="670" spans="1:34" ht="36" hidden="1" x14ac:dyDescent="0.55000000000000004">
      <c r="A670" s="127">
        <v>711</v>
      </c>
      <c r="B670" s="170" t="s">
        <v>711</v>
      </c>
      <c r="C670" s="170" t="s">
        <v>712</v>
      </c>
      <c r="D670" s="169">
        <v>21</v>
      </c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72">
        <f t="shared" si="25"/>
        <v>0</v>
      </c>
      <c r="AH670" s="173">
        <f>D670-AG670</f>
        <v>21</v>
      </c>
    </row>
    <row r="671" spans="1:34" ht="36" hidden="1" x14ac:dyDescent="0.55000000000000004">
      <c r="A671" s="127">
        <v>712</v>
      </c>
      <c r="B671" s="170" t="s">
        <v>721</v>
      </c>
      <c r="C671" s="170" t="s">
        <v>722</v>
      </c>
      <c r="D671" s="169">
        <v>15</v>
      </c>
      <c r="E671" s="180">
        <v>15</v>
      </c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72">
        <f t="shared" si="25"/>
        <v>0</v>
      </c>
      <c r="AH671" s="173">
        <f>D671-AG671</f>
        <v>15</v>
      </c>
    </row>
    <row r="672" spans="1:34" ht="36" hidden="1" x14ac:dyDescent="0.55000000000000004">
      <c r="A672" s="127">
        <v>713</v>
      </c>
      <c r="B672" s="170" t="s">
        <v>511</v>
      </c>
      <c r="C672" s="170" t="s">
        <v>512</v>
      </c>
      <c r="D672" s="169">
        <v>12</v>
      </c>
      <c r="E672" s="180">
        <v>6</v>
      </c>
      <c r="F672" s="180"/>
      <c r="G672" s="180"/>
      <c r="H672" s="180"/>
      <c r="I672" s="180"/>
      <c r="J672" s="180"/>
      <c r="K672" s="180"/>
      <c r="L672" s="180"/>
      <c r="M672" s="180"/>
      <c r="N672" s="180">
        <v>5</v>
      </c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72">
        <f t="shared" si="25"/>
        <v>5</v>
      </c>
      <c r="AH672" s="173">
        <f>D672-AG672</f>
        <v>7</v>
      </c>
    </row>
    <row r="673" spans="1:34" ht="36" hidden="1" x14ac:dyDescent="0.55000000000000004">
      <c r="A673" s="127">
        <v>714</v>
      </c>
      <c r="B673" s="170" t="s">
        <v>1390</v>
      </c>
      <c r="C673" s="170" t="s">
        <v>1391</v>
      </c>
      <c r="D673" s="169">
        <v>14</v>
      </c>
      <c r="E673" s="180">
        <v>3</v>
      </c>
      <c r="F673" s="180"/>
      <c r="G673" s="180"/>
      <c r="H673" s="180"/>
      <c r="I673" s="180"/>
      <c r="J673" s="180"/>
      <c r="K673" s="180"/>
      <c r="L673" s="180"/>
      <c r="M673" s="180"/>
      <c r="N673" s="180">
        <v>5</v>
      </c>
      <c r="O673" s="180"/>
      <c r="P673" s="180"/>
      <c r="Q673" s="180"/>
      <c r="R673" s="180"/>
      <c r="S673" s="180"/>
      <c r="T673" s="180"/>
      <c r="U673" s="180"/>
      <c r="V673" s="180"/>
      <c r="W673" s="180"/>
      <c r="X673" s="180">
        <v>5</v>
      </c>
      <c r="Y673" s="180"/>
      <c r="Z673" s="180"/>
      <c r="AA673" s="180"/>
      <c r="AB673" s="180"/>
      <c r="AC673" s="180"/>
      <c r="AD673" s="180"/>
      <c r="AE673" s="180"/>
      <c r="AF673" s="180"/>
      <c r="AG673" s="172">
        <f t="shared" si="25"/>
        <v>10</v>
      </c>
      <c r="AH673" s="173">
        <f>D673-AG673</f>
        <v>4</v>
      </c>
    </row>
    <row r="674" spans="1:34" ht="36" hidden="1" x14ac:dyDescent="0.55000000000000004">
      <c r="A674" s="127">
        <v>715</v>
      </c>
      <c r="B674" s="170" t="s">
        <v>1392</v>
      </c>
      <c r="C674" s="170" t="s">
        <v>1393</v>
      </c>
      <c r="D674" s="169">
        <v>18</v>
      </c>
      <c r="E674" s="180">
        <v>3</v>
      </c>
      <c r="F674" s="180"/>
      <c r="G674" s="180"/>
      <c r="H674" s="180"/>
      <c r="I674" s="180"/>
      <c r="J674" s="180">
        <v>2</v>
      </c>
      <c r="K674" s="180"/>
      <c r="L674" s="180"/>
      <c r="M674" s="180">
        <v>1</v>
      </c>
      <c r="N674" s="180">
        <v>5</v>
      </c>
      <c r="O674" s="180"/>
      <c r="P674" s="180"/>
      <c r="Q674" s="180"/>
      <c r="R674" s="180">
        <v>2</v>
      </c>
      <c r="S674" s="180"/>
      <c r="T674" s="180"/>
      <c r="U674" s="180"/>
      <c r="V674" s="180"/>
      <c r="W674" s="180"/>
      <c r="X674" s="180">
        <v>5</v>
      </c>
      <c r="Y674" s="180"/>
      <c r="Z674" s="180"/>
      <c r="AA674" s="180"/>
      <c r="AB674" s="180"/>
      <c r="AC674" s="180"/>
      <c r="AD674" s="180"/>
      <c r="AE674" s="180"/>
      <c r="AF674" s="180"/>
      <c r="AG674" s="172">
        <f t="shared" si="25"/>
        <v>15</v>
      </c>
      <c r="AH674" s="173">
        <f>D674-AG674</f>
        <v>3</v>
      </c>
    </row>
    <row r="675" spans="1:34" ht="68.25" hidden="1" x14ac:dyDescent="0.55000000000000004">
      <c r="A675" s="127">
        <v>716</v>
      </c>
      <c r="B675" s="170" t="s">
        <v>1394</v>
      </c>
      <c r="C675" s="170" t="s">
        <v>1395</v>
      </c>
      <c r="D675" s="170">
        <v>24</v>
      </c>
      <c r="E675" s="180"/>
      <c r="F675" s="180"/>
      <c r="G675" s="180"/>
      <c r="H675" s="180"/>
      <c r="I675" s="180"/>
      <c r="J675" s="180">
        <v>4</v>
      </c>
      <c r="K675" s="180"/>
      <c r="L675" s="180"/>
      <c r="M675" s="180">
        <v>3</v>
      </c>
      <c r="N675" s="180">
        <v>5</v>
      </c>
      <c r="O675" s="180"/>
      <c r="P675" s="180"/>
      <c r="Q675" s="180"/>
      <c r="R675" s="180">
        <v>2</v>
      </c>
      <c r="S675" s="180"/>
      <c r="T675" s="180"/>
      <c r="U675" s="180"/>
      <c r="V675" s="180"/>
      <c r="W675" s="180"/>
      <c r="X675" s="180">
        <v>3</v>
      </c>
      <c r="Y675" s="180"/>
      <c r="Z675" s="180"/>
      <c r="AA675" s="180"/>
      <c r="AB675" s="180"/>
      <c r="AC675" s="180"/>
      <c r="AD675" s="180"/>
      <c r="AE675" s="180"/>
      <c r="AF675" s="180"/>
      <c r="AG675" s="172">
        <f t="shared" si="25"/>
        <v>17</v>
      </c>
      <c r="AH675" s="173">
        <f>D675-AG675</f>
        <v>7</v>
      </c>
    </row>
    <row r="676" spans="1:34" ht="36" hidden="1" x14ac:dyDescent="0.55000000000000004">
      <c r="A676" s="127">
        <v>717</v>
      </c>
      <c r="B676" s="170" t="s">
        <v>1022</v>
      </c>
      <c r="C676" s="170" t="s">
        <v>1396</v>
      </c>
      <c r="D676" s="170">
        <v>20</v>
      </c>
      <c r="E676" s="180">
        <v>7</v>
      </c>
      <c r="F676" s="180"/>
      <c r="G676" s="180"/>
      <c r="H676" s="180"/>
      <c r="I676" s="180">
        <v>6</v>
      </c>
      <c r="J676" s="180">
        <v>3</v>
      </c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72">
        <f t="shared" si="25"/>
        <v>9</v>
      </c>
      <c r="AH676" s="173">
        <f>D676-AG676</f>
        <v>11</v>
      </c>
    </row>
    <row r="677" spans="1:34" ht="36" hidden="1" x14ac:dyDescent="0.55000000000000004">
      <c r="A677" s="127">
        <v>718</v>
      </c>
      <c r="B677" s="170" t="s">
        <v>551</v>
      </c>
      <c r="C677" s="170" t="s">
        <v>552</v>
      </c>
      <c r="D677" s="170">
        <v>60</v>
      </c>
      <c r="E677" s="180"/>
      <c r="F677" s="180"/>
      <c r="G677" s="180"/>
      <c r="H677" s="180"/>
      <c r="I677" s="180">
        <v>12</v>
      </c>
      <c r="J677" s="180"/>
      <c r="K677" s="180"/>
      <c r="L677" s="180"/>
      <c r="M677" s="180">
        <v>12</v>
      </c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72">
        <f t="shared" si="25"/>
        <v>24</v>
      </c>
      <c r="AH677" s="173">
        <f>D677-AG677</f>
        <v>36</v>
      </c>
    </row>
    <row r="678" spans="1:34" ht="36" hidden="1" x14ac:dyDescent="0.55000000000000004">
      <c r="A678" s="127">
        <v>719</v>
      </c>
      <c r="B678" s="170" t="s">
        <v>1058</v>
      </c>
      <c r="C678" s="170" t="s">
        <v>1397</v>
      </c>
      <c r="D678" s="170">
        <v>36</v>
      </c>
      <c r="E678" s="180"/>
      <c r="F678" s="180"/>
      <c r="G678" s="180"/>
      <c r="H678" s="180"/>
      <c r="I678" s="180">
        <v>16</v>
      </c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>
        <v>12</v>
      </c>
      <c r="Y678" s="180"/>
      <c r="Z678" s="180"/>
      <c r="AA678" s="180"/>
      <c r="AB678" s="180"/>
      <c r="AC678" s="180"/>
      <c r="AD678" s="180"/>
      <c r="AE678" s="180"/>
      <c r="AF678" s="180"/>
      <c r="AG678" s="172">
        <f t="shared" si="25"/>
        <v>28</v>
      </c>
      <c r="AH678" s="173">
        <f>D678-AG678</f>
        <v>8</v>
      </c>
    </row>
    <row r="679" spans="1:34" ht="36" hidden="1" x14ac:dyDescent="0.55000000000000004">
      <c r="A679" s="127">
        <v>720</v>
      </c>
      <c r="B679" s="170" t="s">
        <v>555</v>
      </c>
      <c r="C679" s="170" t="s">
        <v>1398</v>
      </c>
      <c r="D679" s="170">
        <v>14</v>
      </c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>
        <v>2</v>
      </c>
      <c r="Y679" s="180"/>
      <c r="Z679" s="180"/>
      <c r="AA679" s="180"/>
      <c r="AB679" s="180"/>
      <c r="AC679" s="180"/>
      <c r="AD679" s="180"/>
      <c r="AE679" s="180"/>
      <c r="AF679" s="180"/>
      <c r="AG679" s="172">
        <f t="shared" si="25"/>
        <v>2</v>
      </c>
      <c r="AH679" s="173">
        <f>D679-AG679</f>
        <v>12</v>
      </c>
    </row>
    <row r="680" spans="1:34" ht="68.25" hidden="1" x14ac:dyDescent="0.55000000000000004">
      <c r="A680" s="127">
        <v>721</v>
      </c>
      <c r="B680" s="170" t="s">
        <v>1399</v>
      </c>
      <c r="C680" s="170" t="s">
        <v>1400</v>
      </c>
      <c r="D680" s="170">
        <v>30</v>
      </c>
      <c r="E680" s="180"/>
      <c r="F680" s="180"/>
      <c r="G680" s="180"/>
      <c r="H680" s="180"/>
      <c r="I680" s="180">
        <v>4</v>
      </c>
      <c r="J680" s="180">
        <v>3</v>
      </c>
      <c r="K680" s="180"/>
      <c r="L680" s="180"/>
      <c r="M680" s="180"/>
      <c r="N680" s="180">
        <v>20</v>
      </c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72">
        <f t="shared" si="25"/>
        <v>27</v>
      </c>
      <c r="AH680" s="173">
        <f>D680-AG680</f>
        <v>3</v>
      </c>
    </row>
    <row r="681" spans="1:34" ht="68.25" hidden="1" x14ac:dyDescent="0.55000000000000004">
      <c r="A681" s="127">
        <v>722</v>
      </c>
      <c r="B681" s="170" t="s">
        <v>1401</v>
      </c>
      <c r="C681" s="170" t="s">
        <v>1402</v>
      </c>
      <c r="D681" s="170">
        <v>32</v>
      </c>
      <c r="E681" s="180">
        <v>8</v>
      </c>
      <c r="F681" s="180"/>
      <c r="G681" s="180"/>
      <c r="H681" s="180"/>
      <c r="I681" s="180">
        <v>5</v>
      </c>
      <c r="J681" s="180">
        <v>5</v>
      </c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72">
        <f t="shared" si="25"/>
        <v>10</v>
      </c>
      <c r="AH681" s="173">
        <f>D681-AG681</f>
        <v>22</v>
      </c>
    </row>
    <row r="682" spans="1:34" ht="36" hidden="1" x14ac:dyDescent="0.55000000000000004">
      <c r="A682" s="127">
        <v>723</v>
      </c>
      <c r="B682" s="170" t="s">
        <v>787</v>
      </c>
      <c r="C682" s="170" t="s">
        <v>1403</v>
      </c>
      <c r="D682" s="170">
        <v>10</v>
      </c>
      <c r="E682" s="180"/>
      <c r="F682" s="180"/>
      <c r="G682" s="180"/>
      <c r="H682" s="180"/>
      <c r="I682" s="180"/>
      <c r="J682" s="180"/>
      <c r="K682" s="180"/>
      <c r="L682" s="180"/>
      <c r="M682" s="180"/>
      <c r="N682" s="180">
        <v>1</v>
      </c>
      <c r="O682" s="180"/>
      <c r="P682" s="180"/>
      <c r="Q682" s="180"/>
      <c r="R682" s="180"/>
      <c r="S682" s="180">
        <v>2</v>
      </c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72">
        <f t="shared" si="25"/>
        <v>3</v>
      </c>
      <c r="AH682" s="173">
        <f>D682-AG682</f>
        <v>7</v>
      </c>
    </row>
    <row r="683" spans="1:34" ht="36" hidden="1" x14ac:dyDescent="0.55000000000000004">
      <c r="A683" s="127">
        <v>724</v>
      </c>
      <c r="B683" s="170" t="s">
        <v>1047</v>
      </c>
      <c r="C683" s="170" t="s">
        <v>1404</v>
      </c>
      <c r="D683" s="170">
        <v>60</v>
      </c>
      <c r="E683" s="180"/>
      <c r="F683" s="180"/>
      <c r="G683" s="180"/>
      <c r="H683" s="180"/>
      <c r="I683" s="180">
        <v>2</v>
      </c>
      <c r="J683" s="180">
        <v>5</v>
      </c>
      <c r="K683" s="180"/>
      <c r="L683" s="180"/>
      <c r="M683" s="180"/>
      <c r="N683" s="180">
        <v>10</v>
      </c>
      <c r="O683" s="180"/>
      <c r="P683" s="180"/>
      <c r="Q683" s="180"/>
      <c r="R683" s="180">
        <v>5</v>
      </c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72">
        <f t="shared" si="25"/>
        <v>22</v>
      </c>
      <c r="AH683" s="173">
        <f>D683-AG683</f>
        <v>38</v>
      </c>
    </row>
    <row r="684" spans="1:34" ht="68.25" hidden="1" x14ac:dyDescent="0.55000000000000004">
      <c r="A684" s="127">
        <v>725</v>
      </c>
      <c r="B684" s="170" t="s">
        <v>1405</v>
      </c>
      <c r="C684" s="170" t="s">
        <v>1406</v>
      </c>
      <c r="D684" s="170">
        <v>30</v>
      </c>
      <c r="E684" s="180">
        <v>3</v>
      </c>
      <c r="F684" s="180"/>
      <c r="G684" s="180"/>
      <c r="H684" s="180"/>
      <c r="I684" s="180">
        <v>2</v>
      </c>
      <c r="J684" s="180">
        <v>5</v>
      </c>
      <c r="K684" s="180"/>
      <c r="L684" s="180"/>
      <c r="M684" s="180">
        <v>2</v>
      </c>
      <c r="N684" s="180">
        <v>3</v>
      </c>
      <c r="O684" s="180"/>
      <c r="P684" s="180"/>
      <c r="Q684" s="180"/>
      <c r="R684" s="180">
        <v>2</v>
      </c>
      <c r="S684" s="180"/>
      <c r="T684" s="180"/>
      <c r="U684" s="180"/>
      <c r="V684" s="180"/>
      <c r="W684" s="180">
        <v>5</v>
      </c>
      <c r="X684" s="180">
        <v>5</v>
      </c>
      <c r="Y684" s="180"/>
      <c r="Z684" s="180"/>
      <c r="AA684" s="180"/>
      <c r="AB684" s="180"/>
      <c r="AC684" s="180"/>
      <c r="AD684" s="180"/>
      <c r="AE684" s="180"/>
      <c r="AF684" s="180"/>
      <c r="AG684" s="172">
        <f t="shared" si="25"/>
        <v>24</v>
      </c>
      <c r="AH684" s="173">
        <f>D684-AG684</f>
        <v>6</v>
      </c>
    </row>
    <row r="685" spans="1:34" ht="36" hidden="1" x14ac:dyDescent="0.55000000000000004">
      <c r="A685" s="127">
        <v>726</v>
      </c>
      <c r="B685" s="170" t="s">
        <v>1407</v>
      </c>
      <c r="C685" s="170" t="s">
        <v>1535</v>
      </c>
      <c r="D685" s="170">
        <v>50</v>
      </c>
      <c r="E685" s="180"/>
      <c r="F685" s="180"/>
      <c r="G685" s="180"/>
      <c r="H685" s="180"/>
      <c r="I685" s="180">
        <v>10</v>
      </c>
      <c r="J685" s="180">
        <v>5</v>
      </c>
      <c r="K685" s="180"/>
      <c r="L685" s="180"/>
      <c r="M685" s="180">
        <v>5</v>
      </c>
      <c r="N685" s="180">
        <v>5</v>
      </c>
      <c r="O685" s="180"/>
      <c r="P685" s="180"/>
      <c r="Q685" s="180"/>
      <c r="R685" s="180">
        <v>5</v>
      </c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72">
        <f t="shared" si="25"/>
        <v>30</v>
      </c>
      <c r="AH685" s="173">
        <f>D685-AG685</f>
        <v>20</v>
      </c>
    </row>
    <row r="686" spans="1:34" ht="36" hidden="1" x14ac:dyDescent="0.55000000000000004">
      <c r="A686" s="127">
        <v>727</v>
      </c>
      <c r="B686" s="170" t="s">
        <v>1408</v>
      </c>
      <c r="C686" s="170" t="s">
        <v>1409</v>
      </c>
      <c r="D686" s="170">
        <v>50</v>
      </c>
      <c r="E686" s="180"/>
      <c r="F686" s="180"/>
      <c r="G686" s="180"/>
      <c r="H686" s="180"/>
      <c r="I686" s="180">
        <v>5</v>
      </c>
      <c r="J686" s="180">
        <v>5</v>
      </c>
      <c r="K686" s="180"/>
      <c r="L686" s="180"/>
      <c r="M686" s="180">
        <v>5</v>
      </c>
      <c r="N686" s="180">
        <v>5</v>
      </c>
      <c r="O686" s="180"/>
      <c r="P686" s="180"/>
      <c r="Q686" s="180"/>
      <c r="R686" s="180">
        <v>5</v>
      </c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72">
        <f t="shared" si="25"/>
        <v>25</v>
      </c>
      <c r="AH686" s="173">
        <f>D686-AG686</f>
        <v>25</v>
      </c>
    </row>
    <row r="687" spans="1:34" ht="36" hidden="1" x14ac:dyDescent="0.55000000000000004">
      <c r="A687" s="127">
        <v>728</v>
      </c>
      <c r="B687" s="170" t="s">
        <v>1410</v>
      </c>
      <c r="C687" s="170" t="s">
        <v>1411</v>
      </c>
      <c r="D687" s="170">
        <v>50</v>
      </c>
      <c r="E687" s="180"/>
      <c r="F687" s="180"/>
      <c r="G687" s="180"/>
      <c r="H687" s="180"/>
      <c r="I687" s="180">
        <v>5</v>
      </c>
      <c r="J687" s="180"/>
      <c r="K687" s="180"/>
      <c r="L687" s="180"/>
      <c r="M687" s="180"/>
      <c r="N687" s="180">
        <v>5</v>
      </c>
      <c r="O687" s="180"/>
      <c r="P687" s="180"/>
      <c r="Q687" s="180"/>
      <c r="R687" s="180">
        <v>6</v>
      </c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72">
        <f t="shared" si="25"/>
        <v>16</v>
      </c>
      <c r="AH687" s="173">
        <f>D687-AG687</f>
        <v>34</v>
      </c>
    </row>
    <row r="688" spans="1:34" ht="36" hidden="1" x14ac:dyDescent="0.55000000000000004">
      <c r="A688" s="127">
        <v>729</v>
      </c>
      <c r="B688" s="170" t="s">
        <v>1412</v>
      </c>
      <c r="C688" s="170" t="s">
        <v>1413</v>
      </c>
      <c r="D688" s="170">
        <v>10</v>
      </c>
      <c r="E688" s="180">
        <v>3</v>
      </c>
      <c r="F688" s="180"/>
      <c r="G688" s="180"/>
      <c r="H688" s="180"/>
      <c r="I688" s="180"/>
      <c r="J688" s="180">
        <v>2</v>
      </c>
      <c r="K688" s="180"/>
      <c r="L688" s="180"/>
      <c r="M688" s="180">
        <v>1</v>
      </c>
      <c r="N688" s="180"/>
      <c r="O688" s="180"/>
      <c r="P688" s="180"/>
      <c r="Q688" s="180"/>
      <c r="R688" s="180">
        <v>2</v>
      </c>
      <c r="S688" s="180"/>
      <c r="T688" s="180"/>
      <c r="U688" s="180"/>
      <c r="V688" s="180"/>
      <c r="W688" s="180"/>
      <c r="X688" s="180">
        <v>1</v>
      </c>
      <c r="Y688" s="180"/>
      <c r="Z688" s="180"/>
      <c r="AA688" s="180"/>
      <c r="AB688" s="180"/>
      <c r="AC688" s="180"/>
      <c r="AD688" s="180"/>
      <c r="AE688" s="180"/>
      <c r="AF688" s="180"/>
      <c r="AG688" s="172">
        <f t="shared" si="25"/>
        <v>6</v>
      </c>
      <c r="AH688" s="173">
        <f>D688-AG688</f>
        <v>4</v>
      </c>
    </row>
    <row r="689" spans="2:34" ht="36" hidden="1" x14ac:dyDescent="0.55000000000000004">
      <c r="C689" s="197" t="s">
        <v>1414</v>
      </c>
      <c r="D689" s="197">
        <v>3</v>
      </c>
      <c r="E689" s="180"/>
      <c r="R689"/>
      <c r="W689">
        <v>1</v>
      </c>
    </row>
    <row r="690" spans="2:34" ht="36" hidden="1" x14ac:dyDescent="0.55000000000000004">
      <c r="B690" s="200" t="s">
        <v>1416</v>
      </c>
      <c r="C690" s="200" t="s">
        <v>1417</v>
      </c>
      <c r="D690" s="200">
        <v>5</v>
      </c>
      <c r="E690"/>
      <c r="F690" s="196"/>
      <c r="G690" s="196"/>
      <c r="H690" s="196"/>
      <c r="I690" s="196">
        <v>1</v>
      </c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>
        <v>2</v>
      </c>
      <c r="Y690" s="196"/>
      <c r="Z690" s="196"/>
      <c r="AA690" s="196"/>
      <c r="AB690" s="196"/>
      <c r="AC690" s="196"/>
      <c r="AD690" s="196"/>
      <c r="AE690" s="196"/>
      <c r="AF690" s="196"/>
      <c r="AG690" s="172"/>
      <c r="AH690" s="173">
        <f>D690-AG690</f>
        <v>5</v>
      </c>
    </row>
    <row r="691" spans="2:34" ht="36" hidden="1" x14ac:dyDescent="0.55000000000000004">
      <c r="B691" s="199" t="s">
        <v>1373</v>
      </c>
      <c r="C691" s="199" t="s">
        <v>1418</v>
      </c>
      <c r="D691" s="199">
        <v>2</v>
      </c>
      <c r="E691" s="196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>
        <v>1</v>
      </c>
      <c r="Y691" s="180"/>
      <c r="Z691" s="180"/>
      <c r="AA691" s="180"/>
      <c r="AB691" s="180"/>
      <c r="AC691" s="180"/>
      <c r="AD691" s="180"/>
      <c r="AE691" s="180"/>
      <c r="AF691" s="180"/>
      <c r="AG691" s="172">
        <f t="shared" ref="AG691:AG743" si="26">SUM(F691:AF691)</f>
        <v>1</v>
      </c>
      <c r="AH691" s="173">
        <f>D691-AG691</f>
        <v>1</v>
      </c>
    </row>
    <row r="692" spans="2:34" ht="36" hidden="1" x14ac:dyDescent="0.55000000000000004">
      <c r="B692" s="150" t="s">
        <v>1283</v>
      </c>
      <c r="C692" s="151" t="s">
        <v>1284</v>
      </c>
      <c r="D692" s="150">
        <v>200</v>
      </c>
      <c r="E692" s="180">
        <v>12</v>
      </c>
      <c r="F692" s="183"/>
      <c r="G692" s="183"/>
      <c r="H692" s="183"/>
      <c r="I692" s="183">
        <v>5</v>
      </c>
      <c r="J692" s="183">
        <v>5</v>
      </c>
      <c r="K692" s="183"/>
      <c r="L692" s="183">
        <v>2</v>
      </c>
      <c r="M692" s="183">
        <v>5</v>
      </c>
      <c r="N692" s="183">
        <v>10</v>
      </c>
      <c r="O692" s="183"/>
      <c r="P692" s="183"/>
      <c r="Q692" s="183"/>
      <c r="R692" s="183"/>
      <c r="S692" s="183">
        <v>10</v>
      </c>
      <c r="T692" s="183"/>
      <c r="U692" s="183"/>
      <c r="V692" s="183"/>
      <c r="W692" s="183">
        <v>10</v>
      </c>
      <c r="X692" s="183">
        <v>10</v>
      </c>
      <c r="Y692" s="183"/>
      <c r="Z692" s="183"/>
      <c r="AA692" s="183"/>
      <c r="AB692" s="183"/>
      <c r="AC692" s="183"/>
      <c r="AD692" s="183"/>
      <c r="AE692" s="183"/>
      <c r="AF692" s="183"/>
      <c r="AG692" s="172">
        <f t="shared" si="26"/>
        <v>57</v>
      </c>
      <c r="AH692" s="187">
        <f>D692-AG692</f>
        <v>143</v>
      </c>
    </row>
    <row r="693" spans="2:34" ht="36" hidden="1" x14ac:dyDescent="0.55000000000000004">
      <c r="B693" s="198" t="s">
        <v>1419</v>
      </c>
      <c r="C693" s="198" t="s">
        <v>1420</v>
      </c>
      <c r="D693" s="198">
        <v>2</v>
      </c>
      <c r="E693" s="183"/>
      <c r="F693" s="201"/>
      <c r="G693" s="20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  <c r="AA693" s="201"/>
      <c r="AB693" s="201"/>
      <c r="AC693" s="201"/>
      <c r="AD693" s="201"/>
      <c r="AE693" s="201"/>
      <c r="AF693" s="201"/>
      <c r="AG693" s="172">
        <f t="shared" si="26"/>
        <v>0</v>
      </c>
      <c r="AH693" s="187">
        <f>D693-AG693</f>
        <v>2</v>
      </c>
    </row>
    <row r="694" spans="2:34" ht="36" hidden="1" x14ac:dyDescent="0.55000000000000004">
      <c r="B694" s="198" t="s">
        <v>1421</v>
      </c>
      <c r="C694" s="198" t="s">
        <v>1422</v>
      </c>
      <c r="D694" s="198">
        <v>3</v>
      </c>
      <c r="E694" s="201"/>
      <c r="F694" s="201"/>
      <c r="G694" s="20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  <c r="AA694" s="201"/>
      <c r="AB694" s="201"/>
      <c r="AC694" s="201"/>
      <c r="AD694" s="201"/>
      <c r="AE694" s="201"/>
      <c r="AF694" s="201"/>
      <c r="AG694" s="172">
        <f t="shared" si="26"/>
        <v>0</v>
      </c>
      <c r="AH694" s="187">
        <f>D694-AG694</f>
        <v>3</v>
      </c>
    </row>
    <row r="695" spans="2:34" ht="36" hidden="1" x14ac:dyDescent="0.55000000000000004">
      <c r="B695" s="198" t="s">
        <v>1423</v>
      </c>
      <c r="C695" s="198" t="s">
        <v>1424</v>
      </c>
      <c r="D695" s="198">
        <v>3</v>
      </c>
      <c r="E695" s="201"/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  <c r="AA695" s="201"/>
      <c r="AB695" s="201"/>
      <c r="AC695" s="201"/>
      <c r="AD695" s="201"/>
      <c r="AE695" s="201"/>
      <c r="AF695" s="201"/>
      <c r="AG695" s="172">
        <f t="shared" si="26"/>
        <v>0</v>
      </c>
      <c r="AH695" s="187">
        <f>D695-AG695</f>
        <v>3</v>
      </c>
    </row>
    <row r="696" spans="2:34" ht="36" hidden="1" x14ac:dyDescent="0.55000000000000004">
      <c r="B696" s="198" t="s">
        <v>1423</v>
      </c>
      <c r="C696" s="198" t="s">
        <v>1424</v>
      </c>
      <c r="D696" s="198">
        <v>1</v>
      </c>
      <c r="E696" s="201"/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  <c r="AA696" s="201"/>
      <c r="AB696" s="201"/>
      <c r="AC696" s="201"/>
      <c r="AD696" s="201"/>
      <c r="AE696" s="201"/>
      <c r="AF696" s="201"/>
      <c r="AG696" s="172">
        <f t="shared" si="26"/>
        <v>0</v>
      </c>
      <c r="AH696" s="187">
        <f>D696-AG696</f>
        <v>1</v>
      </c>
    </row>
    <row r="697" spans="2:34" ht="36" hidden="1" x14ac:dyDescent="0.55000000000000004">
      <c r="B697" s="198" t="s">
        <v>1419</v>
      </c>
      <c r="C697" s="198" t="s">
        <v>1420</v>
      </c>
      <c r="D697" s="198">
        <v>1</v>
      </c>
      <c r="E697" s="201"/>
      <c r="F697" s="201"/>
      <c r="G697" s="20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  <c r="AA697" s="201"/>
      <c r="AB697" s="201"/>
      <c r="AC697" s="201"/>
      <c r="AD697" s="201"/>
      <c r="AE697" s="201"/>
      <c r="AF697" s="201"/>
      <c r="AG697" s="172">
        <f t="shared" si="26"/>
        <v>0</v>
      </c>
      <c r="AH697" s="187">
        <f>D697-AG697</f>
        <v>1</v>
      </c>
    </row>
    <row r="698" spans="2:34" ht="36" hidden="1" x14ac:dyDescent="0.55000000000000004">
      <c r="B698" s="198" t="s">
        <v>283</v>
      </c>
      <c r="C698" s="198" t="s">
        <v>1425</v>
      </c>
      <c r="D698" s="198">
        <v>2</v>
      </c>
      <c r="E698" s="201"/>
      <c r="F698" s="201"/>
      <c r="G698" s="20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  <c r="AA698" s="201"/>
      <c r="AB698" s="201"/>
      <c r="AC698" s="201"/>
      <c r="AD698" s="201"/>
      <c r="AE698" s="201"/>
      <c r="AF698" s="201"/>
      <c r="AG698" s="172">
        <f t="shared" si="26"/>
        <v>0</v>
      </c>
      <c r="AH698" s="187">
        <f>D698-AG698</f>
        <v>2</v>
      </c>
    </row>
    <row r="699" spans="2:34" ht="36" hidden="1" x14ac:dyDescent="0.55000000000000004">
      <c r="B699" s="198" t="s">
        <v>976</v>
      </c>
      <c r="C699" s="198" t="s">
        <v>1426</v>
      </c>
      <c r="D699" s="198">
        <v>20</v>
      </c>
      <c r="E699" s="201"/>
      <c r="F699" s="201"/>
      <c r="G699" s="201"/>
      <c r="H699" s="201"/>
      <c r="I699" s="201">
        <v>1</v>
      </c>
      <c r="J699" s="201">
        <v>3</v>
      </c>
      <c r="K699" s="201"/>
      <c r="L699" s="201"/>
      <c r="M699" s="201"/>
      <c r="N699" s="201">
        <v>2</v>
      </c>
      <c r="O699" s="201"/>
      <c r="P699" s="201"/>
      <c r="Q699" s="201"/>
      <c r="R699" s="201"/>
      <c r="S699" s="201">
        <v>1</v>
      </c>
      <c r="T699" s="201"/>
      <c r="U699" s="201"/>
      <c r="V699" s="201"/>
      <c r="W699" s="201"/>
      <c r="X699" s="201"/>
      <c r="Y699" s="201"/>
      <c r="Z699" s="201"/>
      <c r="AA699" s="201"/>
      <c r="AB699" s="201"/>
      <c r="AC699" s="201"/>
      <c r="AD699" s="201"/>
      <c r="AE699" s="201"/>
      <c r="AF699" s="201"/>
      <c r="AG699" s="172">
        <f t="shared" si="26"/>
        <v>7</v>
      </c>
      <c r="AH699" s="187">
        <f>D699-AG699</f>
        <v>13</v>
      </c>
    </row>
    <row r="700" spans="2:34" ht="36" hidden="1" x14ac:dyDescent="0.55000000000000004">
      <c r="B700" s="198" t="s">
        <v>285</v>
      </c>
      <c r="C700" s="198" t="s">
        <v>1427</v>
      </c>
      <c r="D700" s="198">
        <v>5</v>
      </c>
      <c r="E700" s="201"/>
      <c r="F700" s="201"/>
      <c r="G700" s="20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  <c r="AA700" s="201"/>
      <c r="AB700" s="201"/>
      <c r="AC700" s="201"/>
      <c r="AD700" s="201"/>
      <c r="AE700" s="201"/>
      <c r="AF700" s="201"/>
      <c r="AG700" s="172">
        <f t="shared" si="26"/>
        <v>0</v>
      </c>
      <c r="AH700" s="187">
        <f>D700-AG700</f>
        <v>5</v>
      </c>
    </row>
    <row r="701" spans="2:34" ht="36" hidden="1" x14ac:dyDescent="0.55000000000000004">
      <c r="B701" s="198" t="s">
        <v>287</v>
      </c>
      <c r="C701" s="198" t="s">
        <v>1428</v>
      </c>
      <c r="D701" s="198">
        <v>8</v>
      </c>
      <c r="E701" s="201"/>
      <c r="F701" s="201"/>
      <c r="G701" s="201"/>
      <c r="H701" s="201"/>
      <c r="I701" s="201"/>
      <c r="J701" s="201">
        <v>2</v>
      </c>
      <c r="K701" s="201"/>
      <c r="L701" s="201"/>
      <c r="M701" s="201">
        <v>2</v>
      </c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  <c r="AA701" s="201"/>
      <c r="AB701" s="201"/>
      <c r="AC701" s="201"/>
      <c r="AD701" s="201"/>
      <c r="AE701" s="201"/>
      <c r="AF701" s="201"/>
      <c r="AG701" s="172">
        <f t="shared" si="26"/>
        <v>4</v>
      </c>
      <c r="AH701" s="187">
        <f>D701-AG701</f>
        <v>4</v>
      </c>
    </row>
    <row r="702" spans="2:34" ht="36" hidden="1" x14ac:dyDescent="0.55000000000000004">
      <c r="B702" s="198" t="s">
        <v>283</v>
      </c>
      <c r="C702" s="198" t="s">
        <v>1425</v>
      </c>
      <c r="D702" s="198">
        <v>6</v>
      </c>
      <c r="E702" s="201"/>
      <c r="F702" s="201"/>
      <c r="G702" s="20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  <c r="AA702" s="201"/>
      <c r="AB702" s="201"/>
      <c r="AC702" s="201"/>
      <c r="AD702" s="201"/>
      <c r="AE702" s="201"/>
      <c r="AF702" s="201"/>
      <c r="AG702" s="172">
        <f t="shared" si="26"/>
        <v>0</v>
      </c>
      <c r="AH702" s="187">
        <f>D702-AG702</f>
        <v>6</v>
      </c>
    </row>
    <row r="703" spans="2:34" ht="36" hidden="1" x14ac:dyDescent="0.55000000000000004">
      <c r="B703" s="198" t="s">
        <v>285</v>
      </c>
      <c r="C703" s="198" t="s">
        <v>1427</v>
      </c>
      <c r="D703" s="198">
        <v>1</v>
      </c>
      <c r="E703" s="201"/>
      <c r="F703" s="201"/>
      <c r="G703" s="20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  <c r="AA703" s="201"/>
      <c r="AB703" s="201"/>
      <c r="AC703" s="201"/>
      <c r="AD703" s="201"/>
      <c r="AE703" s="201"/>
      <c r="AF703" s="201"/>
      <c r="AG703" s="172">
        <f t="shared" si="26"/>
        <v>0</v>
      </c>
      <c r="AH703" s="187">
        <f>D703-AG703</f>
        <v>1</v>
      </c>
    </row>
    <row r="704" spans="2:34" ht="36" hidden="1" x14ac:dyDescent="0.55000000000000004">
      <c r="B704" s="198" t="s">
        <v>287</v>
      </c>
      <c r="C704" s="198" t="s">
        <v>1428</v>
      </c>
      <c r="D704" s="198">
        <v>4</v>
      </c>
      <c r="E704" s="201"/>
      <c r="F704" s="201"/>
      <c r="G704" s="20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  <c r="AA704" s="201"/>
      <c r="AB704" s="201"/>
      <c r="AC704" s="201"/>
      <c r="AD704" s="201"/>
      <c r="AE704" s="201"/>
      <c r="AF704" s="201"/>
      <c r="AG704" s="172">
        <f t="shared" si="26"/>
        <v>0</v>
      </c>
      <c r="AH704" s="187">
        <f>D704-AG704</f>
        <v>4</v>
      </c>
    </row>
    <row r="705" spans="2:34" ht="36" hidden="1" x14ac:dyDescent="0.55000000000000004">
      <c r="B705" s="198" t="s">
        <v>234</v>
      </c>
      <c r="C705" s="198" t="s">
        <v>1429</v>
      </c>
      <c r="D705" s="198">
        <v>6</v>
      </c>
      <c r="E705" s="201"/>
      <c r="F705" s="201"/>
      <c r="G705" s="201"/>
      <c r="H705" s="201"/>
      <c r="I705" s="201">
        <v>1</v>
      </c>
      <c r="J705" s="201">
        <v>2</v>
      </c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  <c r="AA705" s="201"/>
      <c r="AB705" s="201"/>
      <c r="AC705" s="201"/>
      <c r="AD705" s="201"/>
      <c r="AE705" s="201"/>
      <c r="AF705" s="201"/>
      <c r="AG705" s="172">
        <f t="shared" si="26"/>
        <v>3</v>
      </c>
      <c r="AH705" s="187">
        <f>D705-AG705</f>
        <v>3</v>
      </c>
    </row>
    <row r="706" spans="2:34" ht="36" hidden="1" x14ac:dyDescent="0.55000000000000004">
      <c r="B706" s="198" t="s">
        <v>234</v>
      </c>
      <c r="C706" s="198" t="s">
        <v>1429</v>
      </c>
      <c r="D706" s="198">
        <v>1</v>
      </c>
      <c r="E706" s="201"/>
      <c r="F706" s="201"/>
      <c r="G706" s="20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  <c r="AA706" s="201"/>
      <c r="AB706" s="201"/>
      <c r="AC706" s="201"/>
      <c r="AD706" s="201"/>
      <c r="AE706" s="201"/>
      <c r="AF706" s="201"/>
      <c r="AG706" s="172">
        <f t="shared" si="26"/>
        <v>0</v>
      </c>
      <c r="AH706" s="187">
        <f>D706-AG706</f>
        <v>1</v>
      </c>
    </row>
    <row r="707" spans="2:34" ht="36" hidden="1" x14ac:dyDescent="0.55000000000000004">
      <c r="B707" s="198" t="s">
        <v>1430</v>
      </c>
      <c r="C707" s="198" t="s">
        <v>1431</v>
      </c>
      <c r="D707" s="198">
        <v>10</v>
      </c>
      <c r="E707" s="201">
        <v>2</v>
      </c>
      <c r="F707" s="201"/>
      <c r="G707" s="201"/>
      <c r="H707" s="201"/>
      <c r="I707" s="201">
        <v>1</v>
      </c>
      <c r="J707" s="201"/>
      <c r="K707" s="201"/>
      <c r="L707" s="201"/>
      <c r="M707" s="201"/>
      <c r="N707" s="201">
        <v>1</v>
      </c>
      <c r="O707" s="201"/>
      <c r="P707" s="201"/>
      <c r="Q707" s="201"/>
      <c r="R707" s="201"/>
      <c r="S707" s="201">
        <v>1</v>
      </c>
      <c r="T707" s="201"/>
      <c r="U707" s="201"/>
      <c r="V707" s="201"/>
      <c r="W707" s="201"/>
      <c r="X707" s="201"/>
      <c r="Y707" s="201"/>
      <c r="Z707" s="201"/>
      <c r="AA707" s="201"/>
      <c r="AB707" s="201"/>
      <c r="AC707" s="201"/>
      <c r="AD707" s="201"/>
      <c r="AE707" s="201"/>
      <c r="AF707" s="201"/>
      <c r="AG707" s="172">
        <f t="shared" si="26"/>
        <v>3</v>
      </c>
      <c r="AH707" s="187">
        <f>D707-AG707</f>
        <v>7</v>
      </c>
    </row>
    <row r="708" spans="2:34" ht="36" hidden="1" x14ac:dyDescent="0.55000000000000004">
      <c r="B708" s="198" t="s">
        <v>275</v>
      </c>
      <c r="C708" s="198" t="s">
        <v>1432</v>
      </c>
      <c r="D708" s="198">
        <v>3</v>
      </c>
      <c r="E708" s="201"/>
      <c r="F708" s="201"/>
      <c r="G708" s="20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  <c r="AA708" s="201"/>
      <c r="AB708" s="201"/>
      <c r="AC708" s="201"/>
      <c r="AD708" s="201"/>
      <c r="AE708" s="201"/>
      <c r="AF708" s="201"/>
      <c r="AG708" s="172">
        <f t="shared" si="26"/>
        <v>0</v>
      </c>
      <c r="AH708" s="187">
        <f>D708-AG708</f>
        <v>3</v>
      </c>
    </row>
    <row r="709" spans="2:34" ht="36" hidden="1" x14ac:dyDescent="0.55000000000000004">
      <c r="B709" s="198" t="s">
        <v>1433</v>
      </c>
      <c r="C709" s="198" t="s">
        <v>1434</v>
      </c>
      <c r="D709" s="198">
        <v>2</v>
      </c>
      <c r="E709" s="201"/>
      <c r="F709" s="201"/>
      <c r="G709" s="20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>
        <v>1</v>
      </c>
      <c r="X709" s="201"/>
      <c r="Y709" s="201"/>
      <c r="Z709" s="201"/>
      <c r="AA709" s="201"/>
      <c r="AB709" s="201"/>
      <c r="AC709" s="201"/>
      <c r="AD709" s="201"/>
      <c r="AE709" s="201"/>
      <c r="AF709" s="201"/>
      <c r="AG709" s="172">
        <f t="shared" si="26"/>
        <v>1</v>
      </c>
      <c r="AH709" s="187">
        <f>D709-AG709</f>
        <v>1</v>
      </c>
    </row>
    <row r="710" spans="2:34" ht="36" hidden="1" x14ac:dyDescent="0.55000000000000004">
      <c r="B710" s="198" t="s">
        <v>1435</v>
      </c>
      <c r="C710" s="198" t="s">
        <v>1436</v>
      </c>
      <c r="D710" s="198">
        <v>4</v>
      </c>
      <c r="E710" s="201"/>
      <c r="F710" s="201"/>
      <c r="G710" s="20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  <c r="AA710" s="201"/>
      <c r="AB710" s="201"/>
      <c r="AC710" s="201"/>
      <c r="AD710" s="201"/>
      <c r="AE710" s="201"/>
      <c r="AF710" s="201"/>
      <c r="AG710" s="172">
        <f t="shared" si="26"/>
        <v>0</v>
      </c>
      <c r="AH710" s="187">
        <f>D710-AG710</f>
        <v>4</v>
      </c>
    </row>
    <row r="711" spans="2:34" ht="36" hidden="1" x14ac:dyDescent="0.55000000000000004">
      <c r="B711" s="198" t="s">
        <v>1437</v>
      </c>
      <c r="C711" s="198" t="s">
        <v>1438</v>
      </c>
      <c r="D711" s="198">
        <v>1</v>
      </c>
      <c r="E711" s="201"/>
      <c r="F711" s="201"/>
      <c r="G711" s="201"/>
      <c r="H711" s="201"/>
      <c r="I711" s="201"/>
      <c r="J711" s="201"/>
      <c r="K711" s="201"/>
      <c r="L711" s="201"/>
      <c r="M711" s="201"/>
      <c r="N711" s="201">
        <v>1</v>
      </c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  <c r="AA711" s="201"/>
      <c r="AB711" s="201"/>
      <c r="AC711" s="201"/>
      <c r="AD711" s="201"/>
      <c r="AE711" s="201"/>
      <c r="AF711" s="201"/>
      <c r="AG711" s="172">
        <f t="shared" si="26"/>
        <v>1</v>
      </c>
      <c r="AH711" s="187">
        <f>D711-AG711</f>
        <v>0</v>
      </c>
    </row>
    <row r="712" spans="2:34" ht="36" hidden="1" x14ac:dyDescent="0.55000000000000004">
      <c r="B712" s="198" t="s">
        <v>1439</v>
      </c>
      <c r="C712" s="198" t="s">
        <v>1440</v>
      </c>
      <c r="D712" s="198">
        <v>2</v>
      </c>
      <c r="E712" s="201"/>
      <c r="F712" s="201"/>
      <c r="G712" s="201"/>
      <c r="H712" s="201"/>
      <c r="I712" s="201"/>
      <c r="J712" s="201"/>
      <c r="K712" s="201"/>
      <c r="L712" s="201"/>
      <c r="M712" s="201">
        <v>1</v>
      </c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  <c r="AA712" s="201"/>
      <c r="AB712" s="201"/>
      <c r="AC712" s="201"/>
      <c r="AD712" s="201"/>
      <c r="AE712" s="201"/>
      <c r="AF712" s="201"/>
      <c r="AG712" s="172">
        <f t="shared" si="26"/>
        <v>1</v>
      </c>
      <c r="AH712" s="187">
        <f>D712-AG712</f>
        <v>1</v>
      </c>
    </row>
    <row r="713" spans="2:34" ht="36" hidden="1" x14ac:dyDescent="0.55000000000000004">
      <c r="B713" s="198" t="s">
        <v>1441</v>
      </c>
      <c r="C713" s="198" t="s">
        <v>1442</v>
      </c>
      <c r="D713" s="198">
        <v>2</v>
      </c>
      <c r="E713" s="201"/>
      <c r="F713" s="201"/>
      <c r="G713" s="20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  <c r="AA713" s="201"/>
      <c r="AB713" s="201"/>
      <c r="AC713" s="201"/>
      <c r="AD713" s="201"/>
      <c r="AE713" s="201"/>
      <c r="AF713" s="201"/>
      <c r="AG713" s="172">
        <f t="shared" si="26"/>
        <v>0</v>
      </c>
      <c r="AH713" s="187">
        <f>D713-AG713</f>
        <v>2</v>
      </c>
    </row>
    <row r="714" spans="2:34" ht="36" hidden="1" x14ac:dyDescent="0.55000000000000004">
      <c r="B714" s="198" t="s">
        <v>1443</v>
      </c>
      <c r="C714" s="198" t="s">
        <v>1444</v>
      </c>
      <c r="D714" s="198">
        <v>2</v>
      </c>
      <c r="E714" s="201"/>
      <c r="F714" s="201"/>
      <c r="G714" s="20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  <c r="AA714" s="201"/>
      <c r="AB714" s="201"/>
      <c r="AC714" s="201"/>
      <c r="AD714" s="201"/>
      <c r="AE714" s="201"/>
      <c r="AF714" s="201"/>
      <c r="AG714" s="172">
        <f t="shared" si="26"/>
        <v>0</v>
      </c>
      <c r="AH714" s="187">
        <f>D714-AG714</f>
        <v>2</v>
      </c>
    </row>
    <row r="715" spans="2:34" ht="36" hidden="1" x14ac:dyDescent="0.55000000000000004">
      <c r="B715" s="198" t="s">
        <v>1445</v>
      </c>
      <c r="C715" s="198" t="s">
        <v>1446</v>
      </c>
      <c r="D715" s="198">
        <v>2</v>
      </c>
      <c r="E715" s="201"/>
      <c r="F715" s="201"/>
      <c r="G715" s="20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  <c r="AA715" s="201"/>
      <c r="AB715" s="201"/>
      <c r="AC715" s="201"/>
      <c r="AD715" s="201"/>
      <c r="AE715" s="201"/>
      <c r="AF715" s="201"/>
      <c r="AG715" s="172">
        <f t="shared" si="26"/>
        <v>0</v>
      </c>
      <c r="AH715" s="187">
        <f>D715-AG715</f>
        <v>2</v>
      </c>
    </row>
    <row r="716" spans="2:34" ht="36" hidden="1" x14ac:dyDescent="0.55000000000000004">
      <c r="B716" s="198" t="s">
        <v>1447</v>
      </c>
      <c r="C716" s="198" t="s">
        <v>1448</v>
      </c>
      <c r="D716" s="198">
        <v>2</v>
      </c>
      <c r="E716" s="201"/>
      <c r="F716" s="201"/>
      <c r="G716" s="20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  <c r="AA716" s="201"/>
      <c r="AB716" s="201"/>
      <c r="AC716" s="201"/>
      <c r="AD716" s="201"/>
      <c r="AE716" s="201"/>
      <c r="AF716" s="201"/>
      <c r="AG716" s="172">
        <f t="shared" si="26"/>
        <v>0</v>
      </c>
      <c r="AH716" s="187">
        <f>D716-AG716</f>
        <v>2</v>
      </c>
    </row>
    <row r="717" spans="2:34" ht="36" hidden="1" x14ac:dyDescent="0.55000000000000004">
      <c r="B717" s="198" t="s">
        <v>1449</v>
      </c>
      <c r="C717" s="198" t="s">
        <v>1450</v>
      </c>
      <c r="D717" s="198">
        <v>2</v>
      </c>
      <c r="E717" s="201"/>
      <c r="F717" s="201"/>
      <c r="G717" s="20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  <c r="AA717" s="201"/>
      <c r="AB717" s="201"/>
      <c r="AC717" s="201"/>
      <c r="AD717" s="201"/>
      <c r="AE717" s="201"/>
      <c r="AF717" s="201"/>
      <c r="AG717" s="172">
        <f t="shared" si="26"/>
        <v>0</v>
      </c>
      <c r="AH717" s="187">
        <f>D717-AG717</f>
        <v>2</v>
      </c>
    </row>
    <row r="718" spans="2:34" ht="36" hidden="1" x14ac:dyDescent="0.55000000000000004">
      <c r="B718" s="198" t="s">
        <v>1451</v>
      </c>
      <c r="C718" s="198" t="s">
        <v>1452</v>
      </c>
      <c r="D718" s="198">
        <v>2</v>
      </c>
      <c r="E718" s="201"/>
      <c r="F718" s="201"/>
      <c r="G718" s="20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  <c r="AA718" s="201"/>
      <c r="AB718" s="201"/>
      <c r="AC718" s="201"/>
      <c r="AD718" s="201"/>
      <c r="AE718" s="201"/>
      <c r="AF718" s="201"/>
      <c r="AG718" s="172">
        <f t="shared" si="26"/>
        <v>0</v>
      </c>
      <c r="AH718" s="187">
        <f>D718-AG718</f>
        <v>2</v>
      </c>
    </row>
    <row r="719" spans="2:34" ht="36" hidden="1" x14ac:dyDescent="0.55000000000000004">
      <c r="B719" s="198" t="s">
        <v>1453</v>
      </c>
      <c r="C719" s="198" t="s">
        <v>1454</v>
      </c>
      <c r="D719" s="198">
        <v>2</v>
      </c>
      <c r="E719" s="201"/>
      <c r="F719" s="201"/>
      <c r="G719" s="20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  <c r="AA719" s="201"/>
      <c r="AB719" s="201"/>
      <c r="AC719" s="201"/>
      <c r="AD719" s="201"/>
      <c r="AE719" s="201"/>
      <c r="AF719" s="201"/>
      <c r="AG719" s="172">
        <f t="shared" si="26"/>
        <v>0</v>
      </c>
      <c r="AH719" s="187">
        <f>D719-AG719</f>
        <v>2</v>
      </c>
    </row>
    <row r="720" spans="2:34" ht="36" hidden="1" x14ac:dyDescent="0.55000000000000004">
      <c r="B720" s="198" t="s">
        <v>1449</v>
      </c>
      <c r="C720" s="198" t="s">
        <v>1450</v>
      </c>
      <c r="D720" s="198">
        <v>2</v>
      </c>
      <c r="E720" s="201"/>
      <c r="F720" s="201"/>
      <c r="G720" s="20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  <c r="AA720" s="201"/>
      <c r="AB720" s="201"/>
      <c r="AC720" s="201"/>
      <c r="AD720" s="201"/>
      <c r="AE720" s="201"/>
      <c r="AF720" s="201"/>
      <c r="AG720" s="172">
        <f t="shared" si="26"/>
        <v>0</v>
      </c>
      <c r="AH720" s="187">
        <f>D720-AG720</f>
        <v>2</v>
      </c>
    </row>
    <row r="721" spans="2:34" ht="36" hidden="1" x14ac:dyDescent="0.55000000000000004">
      <c r="B721" s="198" t="s">
        <v>1357</v>
      </c>
      <c r="C721" s="198" t="s">
        <v>1455</v>
      </c>
      <c r="D721" s="198">
        <v>10</v>
      </c>
      <c r="E721" s="201"/>
      <c r="F721" s="201"/>
      <c r="G721" s="201"/>
      <c r="H721" s="201"/>
      <c r="I721" s="201">
        <v>2</v>
      </c>
      <c r="J721" s="201"/>
      <c r="K721" s="201"/>
      <c r="L721" s="201"/>
      <c r="M721" s="201"/>
      <c r="N721" s="201">
        <v>3</v>
      </c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  <c r="AA721" s="201"/>
      <c r="AB721" s="201"/>
      <c r="AC721" s="201"/>
      <c r="AD721" s="201"/>
      <c r="AE721" s="201"/>
      <c r="AF721" s="201"/>
      <c r="AG721" s="172">
        <f t="shared" si="26"/>
        <v>5</v>
      </c>
      <c r="AH721" s="187">
        <f>D721-AG721</f>
        <v>5</v>
      </c>
    </row>
    <row r="722" spans="2:34" ht="36" hidden="1" x14ac:dyDescent="0.55000000000000004">
      <c r="B722" s="198" t="s">
        <v>314</v>
      </c>
      <c r="C722" s="198" t="s">
        <v>1456</v>
      </c>
      <c r="D722" s="198">
        <v>10</v>
      </c>
      <c r="E722" s="180">
        <v>2</v>
      </c>
      <c r="F722" s="201"/>
      <c r="G722" s="201"/>
      <c r="H722" s="201"/>
      <c r="I722" s="201"/>
      <c r="J722" s="201">
        <v>3</v>
      </c>
      <c r="K722" s="201"/>
      <c r="L722" s="201"/>
      <c r="M722" s="201"/>
      <c r="N722" s="201">
        <v>4</v>
      </c>
      <c r="O722" s="201"/>
      <c r="P722" s="201"/>
      <c r="Q722" s="201"/>
      <c r="R722" s="201"/>
      <c r="S722" s="201"/>
      <c r="T722" s="201"/>
      <c r="U722" s="201"/>
      <c r="V722" s="201"/>
      <c r="W722" s="201">
        <v>1</v>
      </c>
      <c r="X722" s="201"/>
      <c r="Y722" s="201"/>
      <c r="Z722" s="201"/>
      <c r="AA722" s="201"/>
      <c r="AB722" s="201"/>
      <c r="AC722" s="201"/>
      <c r="AD722" s="201"/>
      <c r="AE722" s="201"/>
      <c r="AF722" s="201"/>
      <c r="AG722" s="172">
        <f t="shared" si="26"/>
        <v>8</v>
      </c>
      <c r="AH722" s="187">
        <f>D722-AG722</f>
        <v>2</v>
      </c>
    </row>
    <row r="723" spans="2:34" ht="36" hidden="1" x14ac:dyDescent="0.55000000000000004">
      <c r="B723" s="198" t="s">
        <v>310</v>
      </c>
      <c r="C723" s="198" t="s">
        <v>1457</v>
      </c>
      <c r="D723" s="198">
        <v>10</v>
      </c>
      <c r="E723" s="201"/>
      <c r="F723" s="201"/>
      <c r="G723" s="201"/>
      <c r="H723" s="201"/>
      <c r="I723" s="201">
        <v>1</v>
      </c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>
        <v>4</v>
      </c>
      <c r="X723" s="201">
        <v>1</v>
      </c>
      <c r="Y723" s="201"/>
      <c r="Z723" s="201"/>
      <c r="AA723" s="201"/>
      <c r="AB723" s="201"/>
      <c r="AC723" s="201"/>
      <c r="AD723" s="201"/>
      <c r="AE723" s="201"/>
      <c r="AF723" s="201"/>
      <c r="AG723" s="172">
        <f t="shared" si="26"/>
        <v>6</v>
      </c>
      <c r="AH723" s="187">
        <f>D723-AG723</f>
        <v>4</v>
      </c>
    </row>
    <row r="724" spans="2:34" ht="36" hidden="1" x14ac:dyDescent="0.55000000000000004">
      <c r="B724" s="198" t="s">
        <v>1458</v>
      </c>
      <c r="C724" s="198" t="s">
        <v>1459</v>
      </c>
      <c r="D724" s="198">
        <v>5</v>
      </c>
      <c r="E724" s="201"/>
      <c r="F724" s="201"/>
      <c r="G724" s="20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  <c r="AA724" s="201"/>
      <c r="AB724" s="201"/>
      <c r="AC724" s="201"/>
      <c r="AD724" s="201"/>
      <c r="AE724" s="201"/>
      <c r="AF724" s="201"/>
      <c r="AG724" s="172">
        <f t="shared" si="26"/>
        <v>0</v>
      </c>
      <c r="AH724" s="187">
        <f>D724-AG724</f>
        <v>5</v>
      </c>
    </row>
    <row r="725" spans="2:34" ht="36" hidden="1" x14ac:dyDescent="0.55000000000000004">
      <c r="B725" s="198" t="s">
        <v>238</v>
      </c>
      <c r="C725" s="198" t="s">
        <v>1460</v>
      </c>
      <c r="D725" s="198">
        <v>6</v>
      </c>
      <c r="E725" s="201"/>
      <c r="F725" s="201"/>
      <c r="G725" s="201"/>
      <c r="H725" s="201"/>
      <c r="I725" s="201">
        <v>1</v>
      </c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  <c r="AA725" s="201"/>
      <c r="AB725" s="201"/>
      <c r="AC725" s="201"/>
      <c r="AD725" s="201"/>
      <c r="AE725" s="201"/>
      <c r="AF725" s="201"/>
      <c r="AG725" s="172">
        <f t="shared" si="26"/>
        <v>1</v>
      </c>
      <c r="AH725" s="187">
        <f>D725-AG725</f>
        <v>5</v>
      </c>
    </row>
    <row r="726" spans="2:34" ht="36" hidden="1" x14ac:dyDescent="0.55000000000000004">
      <c r="B726" s="198" t="s">
        <v>238</v>
      </c>
      <c r="C726" s="198" t="s">
        <v>1460</v>
      </c>
      <c r="D726" s="198">
        <v>1</v>
      </c>
      <c r="E726" s="201"/>
      <c r="F726" s="201"/>
      <c r="G726" s="20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  <c r="AA726" s="201"/>
      <c r="AB726" s="201"/>
      <c r="AC726" s="201"/>
      <c r="AD726" s="201"/>
      <c r="AE726" s="201"/>
      <c r="AF726" s="201"/>
      <c r="AG726" s="172">
        <f t="shared" si="26"/>
        <v>0</v>
      </c>
      <c r="AH726" s="187">
        <f>D726-AG726</f>
        <v>1</v>
      </c>
    </row>
    <row r="727" spans="2:34" ht="36" hidden="1" x14ac:dyDescent="0.55000000000000004">
      <c r="B727" s="198" t="s">
        <v>1461</v>
      </c>
      <c r="C727" s="198" t="s">
        <v>1462</v>
      </c>
      <c r="D727" s="198">
        <v>9</v>
      </c>
      <c r="E727" s="201"/>
      <c r="F727" s="201"/>
      <c r="G727" s="201"/>
      <c r="H727" s="201"/>
      <c r="I727" s="201">
        <v>2</v>
      </c>
      <c r="J727" s="201">
        <v>2</v>
      </c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  <c r="AA727" s="201"/>
      <c r="AB727" s="201"/>
      <c r="AC727" s="201"/>
      <c r="AD727" s="201"/>
      <c r="AE727" s="201"/>
      <c r="AF727" s="201"/>
      <c r="AG727" s="172">
        <f t="shared" si="26"/>
        <v>4</v>
      </c>
      <c r="AH727" s="187">
        <f>D727-AG727</f>
        <v>5</v>
      </c>
    </row>
    <row r="728" spans="2:34" ht="36" hidden="1" x14ac:dyDescent="0.55000000000000004">
      <c r="B728" s="198" t="s">
        <v>1463</v>
      </c>
      <c r="C728" s="198" t="s">
        <v>1464</v>
      </c>
      <c r="D728" s="198">
        <v>6</v>
      </c>
      <c r="E728" s="201"/>
      <c r="F728" s="201"/>
      <c r="G728" s="20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  <c r="AA728" s="201"/>
      <c r="AB728" s="201"/>
      <c r="AC728" s="201"/>
      <c r="AD728" s="201"/>
      <c r="AE728" s="201"/>
      <c r="AF728" s="201"/>
      <c r="AG728" s="172">
        <f t="shared" si="26"/>
        <v>0</v>
      </c>
      <c r="AH728" s="187">
        <f>D728-AG728</f>
        <v>6</v>
      </c>
    </row>
    <row r="729" spans="2:34" ht="36" hidden="1" x14ac:dyDescent="0.55000000000000004">
      <c r="B729" s="198" t="s">
        <v>1463</v>
      </c>
      <c r="C729" s="198" t="s">
        <v>1464</v>
      </c>
      <c r="D729" s="198">
        <v>1</v>
      </c>
      <c r="E729" s="201"/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  <c r="AA729" s="201"/>
      <c r="AB729" s="201"/>
      <c r="AC729" s="201"/>
      <c r="AD729" s="201"/>
      <c r="AE729" s="201"/>
      <c r="AF729" s="201"/>
      <c r="AG729" s="172">
        <f t="shared" si="26"/>
        <v>0</v>
      </c>
      <c r="AH729" s="187">
        <f>D729-AG729</f>
        <v>1</v>
      </c>
    </row>
    <row r="730" spans="2:34" ht="36" hidden="1" x14ac:dyDescent="0.55000000000000004">
      <c r="B730" s="198" t="s">
        <v>1463</v>
      </c>
      <c r="C730" s="198" t="s">
        <v>1464</v>
      </c>
      <c r="D730" s="198">
        <v>6</v>
      </c>
      <c r="E730" s="201"/>
      <c r="F730" s="201"/>
      <c r="G730" s="20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  <c r="AA730" s="201"/>
      <c r="AB730" s="201"/>
      <c r="AC730" s="201"/>
      <c r="AD730" s="201"/>
      <c r="AE730" s="201"/>
      <c r="AF730" s="201"/>
      <c r="AG730" s="172">
        <f t="shared" si="26"/>
        <v>0</v>
      </c>
      <c r="AH730" s="187">
        <f>D730-AG730</f>
        <v>6</v>
      </c>
    </row>
    <row r="731" spans="2:34" ht="36" hidden="1" x14ac:dyDescent="0.55000000000000004">
      <c r="B731" s="198" t="s">
        <v>1465</v>
      </c>
      <c r="C731" s="198" t="s">
        <v>1466</v>
      </c>
      <c r="D731" s="198">
        <v>2</v>
      </c>
      <c r="E731" s="201"/>
      <c r="F731" s="201"/>
      <c r="G731" s="201"/>
      <c r="H731" s="201"/>
      <c r="I731" s="201"/>
      <c r="J731" s="201">
        <v>2</v>
      </c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  <c r="AA731" s="201"/>
      <c r="AB731" s="201"/>
      <c r="AC731" s="201"/>
      <c r="AD731" s="201"/>
      <c r="AE731" s="201"/>
      <c r="AF731" s="201"/>
      <c r="AG731" s="172">
        <f t="shared" si="26"/>
        <v>2</v>
      </c>
      <c r="AH731" s="187">
        <f>D731-AG731</f>
        <v>0</v>
      </c>
    </row>
    <row r="732" spans="2:34" ht="36" hidden="1" x14ac:dyDescent="0.55000000000000004">
      <c r="B732" s="198" t="s">
        <v>1467</v>
      </c>
      <c r="C732" s="198" t="s">
        <v>1468</v>
      </c>
      <c r="D732" s="198">
        <v>4</v>
      </c>
      <c r="E732" s="201"/>
      <c r="F732" s="201"/>
      <c r="G732" s="20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  <c r="AA732" s="201"/>
      <c r="AB732" s="201"/>
      <c r="AC732" s="201"/>
      <c r="AD732" s="201"/>
      <c r="AE732" s="201"/>
      <c r="AF732" s="201"/>
      <c r="AG732" s="172">
        <f t="shared" si="26"/>
        <v>0</v>
      </c>
      <c r="AH732" s="187">
        <f>D732-AG732</f>
        <v>4</v>
      </c>
    </row>
    <row r="733" spans="2:34" ht="36" hidden="1" x14ac:dyDescent="0.55000000000000004">
      <c r="B733" s="198" t="s">
        <v>404</v>
      </c>
      <c r="C733" s="198" t="s">
        <v>1469</v>
      </c>
      <c r="D733" s="198">
        <v>10</v>
      </c>
      <c r="E733" s="201">
        <v>10</v>
      </c>
      <c r="F733" s="201"/>
      <c r="G733" s="201"/>
      <c r="H733" s="201"/>
      <c r="I733" s="201"/>
      <c r="J733" s="201">
        <v>2</v>
      </c>
      <c r="K733" s="201"/>
      <c r="L733" s="201">
        <v>13</v>
      </c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  <c r="AA733" s="201"/>
      <c r="AB733" s="201"/>
      <c r="AC733" s="201"/>
      <c r="AD733" s="201"/>
      <c r="AE733" s="201"/>
      <c r="AF733" s="201"/>
      <c r="AG733" s="172">
        <f t="shared" si="26"/>
        <v>15</v>
      </c>
      <c r="AH733" s="187">
        <f>D733-AG733</f>
        <v>-5</v>
      </c>
    </row>
    <row r="734" spans="2:34" ht="36" hidden="1" x14ac:dyDescent="0.55000000000000004">
      <c r="B734" s="198" t="s">
        <v>1470</v>
      </c>
      <c r="C734" s="198" t="s">
        <v>1471</v>
      </c>
      <c r="D734" s="198">
        <v>1</v>
      </c>
      <c r="E734" s="201"/>
      <c r="F734" s="201"/>
      <c r="G734" s="20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  <c r="AA734" s="201"/>
      <c r="AB734" s="201"/>
      <c r="AC734" s="201"/>
      <c r="AD734" s="201"/>
      <c r="AE734" s="201"/>
      <c r="AF734" s="201"/>
      <c r="AG734" s="172">
        <f t="shared" si="26"/>
        <v>0</v>
      </c>
      <c r="AH734" s="187">
        <f>D734-AG734</f>
        <v>1</v>
      </c>
    </row>
    <row r="735" spans="2:34" ht="36" hidden="1" x14ac:dyDescent="0.55000000000000004">
      <c r="B735" s="198" t="s">
        <v>410</v>
      </c>
      <c r="C735" s="198" t="s">
        <v>411</v>
      </c>
      <c r="D735" s="198">
        <v>2</v>
      </c>
      <c r="E735" s="201"/>
      <c r="F735" s="201"/>
      <c r="G735" s="201"/>
      <c r="H735" s="201"/>
      <c r="I735" s="201">
        <v>1</v>
      </c>
      <c r="J735" s="201"/>
      <c r="K735" s="201"/>
      <c r="L735" s="201">
        <v>1</v>
      </c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  <c r="AA735" s="201"/>
      <c r="AB735" s="201"/>
      <c r="AC735" s="201"/>
      <c r="AD735" s="201"/>
      <c r="AE735" s="201"/>
      <c r="AF735" s="201"/>
      <c r="AG735" s="172">
        <f t="shared" si="26"/>
        <v>2</v>
      </c>
      <c r="AH735" s="187">
        <f>D735-AG735</f>
        <v>0</v>
      </c>
    </row>
    <row r="736" spans="2:34" ht="36" hidden="1" x14ac:dyDescent="0.55000000000000004">
      <c r="B736" s="198" t="s">
        <v>1472</v>
      </c>
      <c r="C736" s="198" t="s">
        <v>1473</v>
      </c>
      <c r="D736" s="198">
        <v>10</v>
      </c>
      <c r="E736" s="201"/>
      <c r="F736" s="201"/>
      <c r="G736" s="20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  <c r="AA736" s="201"/>
      <c r="AB736" s="201"/>
      <c r="AC736" s="201"/>
      <c r="AD736" s="201"/>
      <c r="AE736" s="201"/>
      <c r="AF736" s="201"/>
      <c r="AG736" s="172">
        <f t="shared" si="26"/>
        <v>0</v>
      </c>
      <c r="AH736" s="187">
        <f>D736-AG736</f>
        <v>10</v>
      </c>
    </row>
    <row r="737" spans="2:34" ht="36" hidden="1" x14ac:dyDescent="0.55000000000000004">
      <c r="B737" s="198" t="s">
        <v>857</v>
      </c>
      <c r="C737" s="198" t="s">
        <v>1474</v>
      </c>
      <c r="D737" s="198">
        <v>5</v>
      </c>
      <c r="E737" s="201">
        <v>1</v>
      </c>
      <c r="F737" s="201"/>
      <c r="G737" s="201"/>
      <c r="H737" s="201"/>
      <c r="I737" s="201"/>
      <c r="J737" s="201">
        <v>1</v>
      </c>
      <c r="K737" s="201"/>
      <c r="L737" s="201"/>
      <c r="M737" s="201"/>
      <c r="N737" s="201">
        <v>1</v>
      </c>
      <c r="O737" s="201"/>
      <c r="P737" s="201"/>
      <c r="Q737" s="201"/>
      <c r="R737" s="201">
        <v>1</v>
      </c>
      <c r="S737" s="201"/>
      <c r="T737" s="201"/>
      <c r="U737" s="201"/>
      <c r="V737" s="201"/>
      <c r="W737" s="201">
        <v>2</v>
      </c>
      <c r="X737" s="201"/>
      <c r="Y737" s="201"/>
      <c r="Z737" s="201"/>
      <c r="AA737" s="201"/>
      <c r="AB737" s="201"/>
      <c r="AC737" s="201"/>
      <c r="AD737" s="201"/>
      <c r="AE737" s="201"/>
      <c r="AF737" s="201"/>
      <c r="AG737" s="172">
        <f t="shared" si="26"/>
        <v>5</v>
      </c>
      <c r="AH737" s="187">
        <f>D737-AG737</f>
        <v>0</v>
      </c>
    </row>
    <row r="738" spans="2:34" ht="36" hidden="1" x14ac:dyDescent="0.55000000000000004">
      <c r="B738" s="198" t="s">
        <v>1475</v>
      </c>
      <c r="C738" s="198" t="s">
        <v>1476</v>
      </c>
      <c r="D738" s="198">
        <v>31</v>
      </c>
      <c r="E738" s="201"/>
      <c r="F738" s="201"/>
      <c r="G738" s="201"/>
      <c r="H738" s="201"/>
      <c r="I738" s="201">
        <v>4</v>
      </c>
      <c r="J738" s="201">
        <v>2</v>
      </c>
      <c r="K738" s="201"/>
      <c r="L738" s="201"/>
      <c r="M738" s="201"/>
      <c r="N738" s="201"/>
      <c r="O738" s="201"/>
      <c r="P738" s="201"/>
      <c r="Q738" s="201"/>
      <c r="R738" s="201"/>
      <c r="S738" s="201">
        <v>2</v>
      </c>
      <c r="T738" s="201"/>
      <c r="U738" s="201"/>
      <c r="V738" s="201"/>
      <c r="W738" s="201"/>
      <c r="X738" s="201">
        <v>3</v>
      </c>
      <c r="Y738" s="201"/>
      <c r="Z738" s="201"/>
      <c r="AA738" s="201"/>
      <c r="AB738" s="201"/>
      <c r="AC738" s="201"/>
      <c r="AD738" s="201"/>
      <c r="AE738" s="201"/>
      <c r="AF738" s="201"/>
      <c r="AG738" s="172">
        <f t="shared" si="26"/>
        <v>11</v>
      </c>
      <c r="AH738" s="187">
        <f>D738-AG738</f>
        <v>20</v>
      </c>
    </row>
    <row r="739" spans="2:34" ht="36" hidden="1" x14ac:dyDescent="0.55000000000000004">
      <c r="B739" s="198" t="s">
        <v>1477</v>
      </c>
      <c r="C739" s="198" t="s">
        <v>1478</v>
      </c>
      <c r="D739" s="198">
        <v>22</v>
      </c>
      <c r="E739" s="201"/>
      <c r="F739" s="201"/>
      <c r="G739" s="201"/>
      <c r="H739" s="201"/>
      <c r="I739" s="201"/>
      <c r="J739" s="201">
        <v>1</v>
      </c>
      <c r="K739" s="201"/>
      <c r="L739" s="201"/>
      <c r="M739" s="201"/>
      <c r="N739" s="201"/>
      <c r="O739" s="201"/>
      <c r="P739" s="201"/>
      <c r="Q739" s="201"/>
      <c r="R739" s="201"/>
      <c r="S739" s="201">
        <v>1</v>
      </c>
      <c r="T739" s="201"/>
      <c r="U739" s="201"/>
      <c r="V739" s="201"/>
      <c r="W739" s="201"/>
      <c r="X739" s="201"/>
      <c r="Y739" s="201"/>
      <c r="Z739" s="201"/>
      <c r="AA739" s="201"/>
      <c r="AB739" s="201"/>
      <c r="AC739" s="201"/>
      <c r="AD739" s="201"/>
      <c r="AE739" s="201"/>
      <c r="AF739" s="201"/>
      <c r="AG739" s="172">
        <f t="shared" si="26"/>
        <v>2</v>
      </c>
      <c r="AH739" s="187">
        <f>D739-AG739</f>
        <v>20</v>
      </c>
    </row>
    <row r="740" spans="2:34" ht="36" hidden="1" x14ac:dyDescent="0.55000000000000004">
      <c r="B740" s="198" t="s">
        <v>1479</v>
      </c>
      <c r="C740" s="198" t="s">
        <v>1480</v>
      </c>
      <c r="D740" s="198">
        <v>15</v>
      </c>
      <c r="E740" s="201"/>
      <c r="F740" s="201"/>
      <c r="G740" s="201"/>
      <c r="H740" s="201"/>
      <c r="I740" s="201"/>
      <c r="J740" s="201">
        <v>1</v>
      </c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  <c r="AA740" s="201"/>
      <c r="AB740" s="201"/>
      <c r="AC740" s="201"/>
      <c r="AD740" s="201"/>
      <c r="AE740" s="201"/>
      <c r="AF740" s="201"/>
      <c r="AG740" s="172">
        <f t="shared" si="26"/>
        <v>1</v>
      </c>
      <c r="AH740" s="187">
        <f>D740-AG740</f>
        <v>14</v>
      </c>
    </row>
    <row r="741" spans="2:34" ht="36" hidden="1" x14ac:dyDescent="0.55000000000000004">
      <c r="B741" s="198" t="s">
        <v>1481</v>
      </c>
      <c r="C741" s="198" t="s">
        <v>1482</v>
      </c>
      <c r="D741" s="198">
        <v>5</v>
      </c>
      <c r="E741" s="201"/>
      <c r="F741" s="201"/>
      <c r="G741" s="20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  <c r="AA741" s="201"/>
      <c r="AB741" s="201"/>
      <c r="AC741" s="201"/>
      <c r="AD741" s="201"/>
      <c r="AE741" s="201"/>
      <c r="AF741" s="201"/>
      <c r="AG741" s="172">
        <f t="shared" si="26"/>
        <v>0</v>
      </c>
      <c r="AH741" s="187">
        <f>D741-AG741</f>
        <v>5</v>
      </c>
    </row>
    <row r="742" spans="2:34" ht="36" hidden="1" x14ac:dyDescent="0.55000000000000004">
      <c r="B742" s="198" t="s">
        <v>1481</v>
      </c>
      <c r="C742" s="198" t="s">
        <v>1482</v>
      </c>
      <c r="D742" s="198">
        <v>1</v>
      </c>
      <c r="E742" s="201"/>
      <c r="F742" s="201"/>
      <c r="G742" s="20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  <c r="AA742" s="201"/>
      <c r="AB742" s="201"/>
      <c r="AC742" s="201"/>
      <c r="AD742" s="201"/>
      <c r="AE742" s="201"/>
      <c r="AF742" s="201"/>
      <c r="AG742" s="172">
        <f t="shared" si="26"/>
        <v>0</v>
      </c>
      <c r="AH742" s="187">
        <f>D742-AG742</f>
        <v>1</v>
      </c>
    </row>
    <row r="743" spans="2:34" ht="35.25" hidden="1" x14ac:dyDescent="0.5">
      <c r="B743" s="202" t="s">
        <v>1483</v>
      </c>
      <c r="C743" s="202" t="s">
        <v>1484</v>
      </c>
      <c r="D743" s="202">
        <v>4</v>
      </c>
      <c r="E743" s="201">
        <v>1</v>
      </c>
      <c r="F743" s="201"/>
      <c r="G743" s="201"/>
      <c r="H743" s="201"/>
      <c r="I743" s="201"/>
      <c r="J743" s="201">
        <v>1</v>
      </c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>
        <v>1</v>
      </c>
      <c r="Y743" s="201"/>
      <c r="Z743" s="201"/>
      <c r="AA743" s="201"/>
      <c r="AB743" s="201"/>
      <c r="AC743" s="201"/>
      <c r="AD743" s="201"/>
      <c r="AE743" s="201"/>
      <c r="AF743" s="201"/>
      <c r="AG743" s="172">
        <f t="shared" si="26"/>
        <v>2</v>
      </c>
      <c r="AH743" s="173">
        <f>D743-AG743</f>
        <v>2</v>
      </c>
    </row>
    <row r="744" spans="2:34" ht="35.25" hidden="1" x14ac:dyDescent="0.5">
      <c r="B744" s="202" t="s">
        <v>1485</v>
      </c>
      <c r="C744" s="202" t="s">
        <v>1486</v>
      </c>
      <c r="D744" s="202">
        <v>1</v>
      </c>
      <c r="E744" s="201"/>
      <c r="F744" s="201"/>
      <c r="G744" s="20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  <c r="AA744" s="201"/>
      <c r="AB744" s="201"/>
      <c r="AC744" s="201"/>
      <c r="AD744" s="201"/>
      <c r="AE744" s="201"/>
      <c r="AF744" s="201"/>
      <c r="AG744" s="172">
        <f t="shared" ref="AG744:AG768" si="27">SUM(F744:AF744)</f>
        <v>0</v>
      </c>
      <c r="AH744" s="173">
        <f>D744-AG744</f>
        <v>1</v>
      </c>
    </row>
    <row r="745" spans="2:34" ht="35.25" hidden="1" x14ac:dyDescent="0.5">
      <c r="B745" s="202" t="s">
        <v>825</v>
      </c>
      <c r="C745" s="202" t="s">
        <v>826</v>
      </c>
      <c r="D745" s="202">
        <v>3</v>
      </c>
      <c r="E745" s="201"/>
      <c r="F745" s="201"/>
      <c r="G745" s="201"/>
      <c r="H745" s="201"/>
      <c r="I745" s="201"/>
      <c r="J745" s="201"/>
      <c r="K745" s="201"/>
      <c r="L745" s="201">
        <v>3</v>
      </c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  <c r="AA745" s="201"/>
      <c r="AB745" s="201"/>
      <c r="AC745" s="201"/>
      <c r="AD745" s="201"/>
      <c r="AE745" s="201"/>
      <c r="AF745" s="201"/>
      <c r="AG745" s="172">
        <f t="shared" si="27"/>
        <v>3</v>
      </c>
      <c r="AH745" s="173">
        <f>D745-AG745</f>
        <v>0</v>
      </c>
    </row>
    <row r="746" spans="2:34" ht="35.25" hidden="1" x14ac:dyDescent="0.5">
      <c r="B746" s="202" t="s">
        <v>42</v>
      </c>
      <c r="C746" s="202" t="s">
        <v>1487</v>
      </c>
      <c r="D746" s="202">
        <v>3</v>
      </c>
      <c r="E746" s="171">
        <v>1</v>
      </c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>
        <v>1</v>
      </c>
      <c r="Y746" s="171"/>
      <c r="Z746" s="171"/>
      <c r="AA746" s="171"/>
      <c r="AB746" s="171"/>
      <c r="AC746" s="171"/>
      <c r="AD746" s="171"/>
      <c r="AE746" s="171"/>
      <c r="AF746" s="171">
        <v>1</v>
      </c>
      <c r="AG746" s="172">
        <f>SUM(E746:AF746)</f>
        <v>3</v>
      </c>
      <c r="AH746" s="173">
        <f>D746-AG746</f>
        <v>0</v>
      </c>
    </row>
    <row r="747" spans="2:34" ht="35.25" hidden="1" x14ac:dyDescent="0.5">
      <c r="B747" s="203" t="s">
        <v>1488</v>
      </c>
      <c r="C747" s="203" t="s">
        <v>1489</v>
      </c>
      <c r="D747" s="203">
        <v>10</v>
      </c>
      <c r="E747" s="201">
        <v>1</v>
      </c>
      <c r="F747" s="201"/>
      <c r="G747" s="201"/>
      <c r="H747" s="201"/>
      <c r="I747" s="201"/>
      <c r="J747" s="201">
        <v>2</v>
      </c>
      <c r="K747" s="201"/>
      <c r="L747" s="201"/>
      <c r="M747" s="201"/>
      <c r="N747" s="201">
        <v>3</v>
      </c>
      <c r="O747" s="201"/>
      <c r="P747" s="201"/>
      <c r="Q747" s="201"/>
      <c r="R747" s="201"/>
      <c r="S747" s="201"/>
      <c r="T747" s="201"/>
      <c r="U747" s="201"/>
      <c r="V747" s="201"/>
      <c r="W747" s="201"/>
      <c r="X747" s="201">
        <v>3</v>
      </c>
      <c r="Y747" s="201"/>
      <c r="Z747" s="201"/>
      <c r="AA747" s="201"/>
      <c r="AB747" s="201"/>
      <c r="AC747" s="201"/>
      <c r="AD747" s="201"/>
      <c r="AE747" s="201"/>
      <c r="AF747" s="201"/>
      <c r="AG747" s="172">
        <f t="shared" si="27"/>
        <v>8</v>
      </c>
      <c r="AH747" s="173">
        <f>D747-AG747</f>
        <v>2</v>
      </c>
    </row>
    <row r="748" spans="2:34" ht="35.25" hidden="1" x14ac:dyDescent="0.5">
      <c r="B748" s="202" t="s">
        <v>821</v>
      </c>
      <c r="C748" s="202" t="s">
        <v>1490</v>
      </c>
      <c r="D748" s="202">
        <v>2</v>
      </c>
      <c r="E748" s="201">
        <v>1</v>
      </c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  <c r="AA748" s="201"/>
      <c r="AB748" s="201"/>
      <c r="AC748" s="201"/>
      <c r="AD748" s="201"/>
      <c r="AE748" s="201"/>
      <c r="AF748" s="201"/>
      <c r="AG748" s="172">
        <f t="shared" si="27"/>
        <v>0</v>
      </c>
      <c r="AH748" s="173">
        <f>D748-AG748</f>
        <v>2</v>
      </c>
    </row>
    <row r="749" spans="2:34" ht="35.25" hidden="1" x14ac:dyDescent="0.5">
      <c r="B749" s="202" t="s">
        <v>1491</v>
      </c>
      <c r="C749" s="202" t="s">
        <v>1492</v>
      </c>
      <c r="D749" s="202">
        <v>1</v>
      </c>
      <c r="E749" s="201"/>
      <c r="F749" s="201"/>
      <c r="G749" s="20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  <c r="AA749" s="201"/>
      <c r="AB749" s="201"/>
      <c r="AC749" s="201"/>
      <c r="AD749" s="201"/>
      <c r="AE749" s="201"/>
      <c r="AF749" s="201"/>
      <c r="AG749" s="172">
        <f t="shared" si="27"/>
        <v>0</v>
      </c>
      <c r="AH749" s="173">
        <f>D749-AG749</f>
        <v>1</v>
      </c>
    </row>
    <row r="750" spans="2:34" ht="35.25" hidden="1" x14ac:dyDescent="0.5">
      <c r="B750" s="202" t="s">
        <v>195</v>
      </c>
      <c r="C750" s="202" t="s">
        <v>1493</v>
      </c>
      <c r="D750" s="202">
        <v>3</v>
      </c>
      <c r="E750" s="201"/>
      <c r="F750" s="201"/>
      <c r="G750" s="201"/>
      <c r="H750" s="201"/>
      <c r="I750" s="201"/>
      <c r="J750" s="201">
        <v>1</v>
      </c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  <c r="AA750" s="201"/>
      <c r="AB750" s="201"/>
      <c r="AC750" s="201"/>
      <c r="AD750" s="201"/>
      <c r="AE750" s="201"/>
      <c r="AF750" s="201"/>
      <c r="AG750" s="172">
        <f t="shared" si="27"/>
        <v>1</v>
      </c>
      <c r="AH750" s="173">
        <f>D750-AG750</f>
        <v>2</v>
      </c>
    </row>
    <row r="751" spans="2:34" ht="35.25" hidden="1" x14ac:dyDescent="0.5">
      <c r="B751" s="202" t="s">
        <v>1494</v>
      </c>
      <c r="C751" s="202" t="s">
        <v>1495</v>
      </c>
      <c r="D751" s="202">
        <v>2</v>
      </c>
      <c r="E751" s="201"/>
      <c r="F751" s="201"/>
      <c r="G751" s="20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  <c r="AA751" s="201"/>
      <c r="AB751" s="201"/>
      <c r="AC751" s="201"/>
      <c r="AD751" s="201"/>
      <c r="AE751" s="201"/>
      <c r="AF751" s="201"/>
      <c r="AG751" s="172">
        <f t="shared" si="27"/>
        <v>0</v>
      </c>
      <c r="AH751" s="173">
        <f>D751-AG751</f>
        <v>2</v>
      </c>
    </row>
    <row r="752" spans="2:34" ht="35.25" hidden="1" x14ac:dyDescent="0.5">
      <c r="B752" s="202" t="s">
        <v>1496</v>
      </c>
      <c r="C752" s="202" t="s">
        <v>1497</v>
      </c>
      <c r="D752" s="202">
        <v>2</v>
      </c>
      <c r="E752" s="201">
        <v>1</v>
      </c>
      <c r="F752" s="201"/>
      <c r="G752" s="20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  <c r="AA752" s="201"/>
      <c r="AB752" s="201"/>
      <c r="AC752" s="201"/>
      <c r="AD752" s="201"/>
      <c r="AE752" s="201"/>
      <c r="AF752" s="201"/>
      <c r="AG752" s="172">
        <f t="shared" si="27"/>
        <v>0</v>
      </c>
      <c r="AH752" s="173">
        <f>D752-AG752</f>
        <v>2</v>
      </c>
    </row>
    <row r="753" spans="2:34" ht="35.25" hidden="1" x14ac:dyDescent="0.5">
      <c r="B753" s="202" t="s">
        <v>1498</v>
      </c>
      <c r="C753" s="202" t="s">
        <v>1499</v>
      </c>
      <c r="D753" s="202">
        <v>10</v>
      </c>
      <c r="E753" s="201">
        <v>2</v>
      </c>
      <c r="F753" s="201"/>
      <c r="G753" s="201"/>
      <c r="H753" s="201"/>
      <c r="I753" s="201"/>
      <c r="J753" s="201">
        <v>2</v>
      </c>
      <c r="K753" s="201"/>
      <c r="L753" s="201">
        <v>2</v>
      </c>
      <c r="M753" s="201"/>
      <c r="N753" s="201">
        <v>2</v>
      </c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  <c r="AA753" s="201"/>
      <c r="AB753" s="201"/>
      <c r="AC753" s="201"/>
      <c r="AD753" s="201"/>
      <c r="AE753" s="201"/>
      <c r="AF753" s="201"/>
      <c r="AG753" s="172">
        <f t="shared" si="27"/>
        <v>6</v>
      </c>
      <c r="AH753" s="173">
        <f>D753-AG753</f>
        <v>4</v>
      </c>
    </row>
    <row r="754" spans="2:34" ht="35.25" hidden="1" x14ac:dyDescent="0.5">
      <c r="B754" s="202" t="s">
        <v>1500</v>
      </c>
      <c r="C754" s="202" t="s">
        <v>1501</v>
      </c>
      <c r="D754" s="202">
        <v>10</v>
      </c>
      <c r="E754" s="201">
        <v>2</v>
      </c>
      <c r="F754" s="201"/>
      <c r="G754" s="201"/>
      <c r="H754" s="201"/>
      <c r="I754" s="201"/>
      <c r="J754" s="201">
        <v>2</v>
      </c>
      <c r="K754" s="201"/>
      <c r="L754" s="201">
        <v>2</v>
      </c>
      <c r="M754" s="201"/>
      <c r="N754" s="201">
        <v>2</v>
      </c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  <c r="AA754" s="201"/>
      <c r="AB754" s="201"/>
      <c r="AC754" s="201"/>
      <c r="AD754" s="201"/>
      <c r="AE754" s="201"/>
      <c r="AF754" s="201"/>
      <c r="AG754" s="172">
        <f t="shared" si="27"/>
        <v>6</v>
      </c>
      <c r="AH754" s="173">
        <f>D754-AG754</f>
        <v>4</v>
      </c>
    </row>
    <row r="755" spans="2:34" ht="35.25" hidden="1" x14ac:dyDescent="0.5">
      <c r="B755" s="202" t="s">
        <v>34</v>
      </c>
      <c r="C755" s="202" t="s">
        <v>1502</v>
      </c>
      <c r="D755" s="202">
        <v>28</v>
      </c>
      <c r="E755" s="171">
        <v>1</v>
      </c>
      <c r="F755" s="171">
        <v>2</v>
      </c>
      <c r="G755" s="171"/>
      <c r="H755" s="171"/>
      <c r="I755" s="171"/>
      <c r="J755" s="171">
        <f>2+3</f>
        <v>5</v>
      </c>
      <c r="K755" s="171"/>
      <c r="L755" s="171"/>
      <c r="M755" s="171">
        <f>1+2</f>
        <v>3</v>
      </c>
      <c r="N755" s="171">
        <v>2</v>
      </c>
      <c r="O755" s="171"/>
      <c r="P755" s="171"/>
      <c r="Q755" s="171"/>
      <c r="R755" s="171">
        <f>3+2</f>
        <v>5</v>
      </c>
      <c r="S755" s="171"/>
      <c r="T755" s="171"/>
      <c r="U755" s="171"/>
      <c r="V755" s="171"/>
      <c r="W755" s="171">
        <v>2</v>
      </c>
      <c r="X755" s="171">
        <v>5</v>
      </c>
      <c r="Y755" s="171"/>
      <c r="Z755" s="171"/>
      <c r="AA755" s="171"/>
      <c r="AB755" s="171"/>
      <c r="AC755" s="171"/>
      <c r="AD755" s="171"/>
      <c r="AE755" s="171"/>
      <c r="AF755" s="171"/>
      <c r="AG755" s="172">
        <f t="shared" si="27"/>
        <v>24</v>
      </c>
      <c r="AH755" s="173">
        <f>D755-AG755</f>
        <v>4</v>
      </c>
    </row>
    <row r="756" spans="2:34" ht="35.25" hidden="1" x14ac:dyDescent="0.5">
      <c r="B756" s="202" t="s">
        <v>30</v>
      </c>
      <c r="C756" s="202" t="s">
        <v>1503</v>
      </c>
      <c r="D756" s="202">
        <v>27</v>
      </c>
      <c r="E756" s="171">
        <v>1</v>
      </c>
      <c r="F756" s="171"/>
      <c r="G756" s="171"/>
      <c r="H756" s="171"/>
      <c r="I756" s="171"/>
      <c r="J756" s="171"/>
      <c r="K756" s="171"/>
      <c r="L756" s="171"/>
      <c r="M756" s="171"/>
      <c r="N756" s="171">
        <v>4</v>
      </c>
      <c r="O756" s="171"/>
      <c r="P756" s="171"/>
      <c r="Q756" s="171"/>
      <c r="R756" s="171"/>
      <c r="S756" s="171"/>
      <c r="T756" s="171"/>
      <c r="U756" s="171"/>
      <c r="V756" s="171"/>
      <c r="W756" s="171">
        <v>5</v>
      </c>
      <c r="X756" s="171">
        <v>8</v>
      </c>
      <c r="Y756" s="171"/>
      <c r="Z756" s="171"/>
      <c r="AA756" s="171"/>
      <c r="AB756" s="171"/>
      <c r="AC756" s="171"/>
      <c r="AD756" s="171"/>
      <c r="AE756" s="171"/>
      <c r="AF756" s="171">
        <v>1</v>
      </c>
      <c r="AG756" s="172">
        <f t="shared" si="27"/>
        <v>18</v>
      </c>
      <c r="AH756" s="173">
        <f>D756-AG756</f>
        <v>9</v>
      </c>
    </row>
    <row r="757" spans="2:34" ht="35.25" hidden="1" x14ac:dyDescent="0.5">
      <c r="B757" s="202" t="s">
        <v>886</v>
      </c>
      <c r="C757" s="202" t="s">
        <v>887</v>
      </c>
      <c r="D757" s="202">
        <v>2</v>
      </c>
      <c r="E757" s="201"/>
      <c r="F757" s="201"/>
      <c r="G757" s="201"/>
      <c r="H757" s="201"/>
      <c r="I757" s="201"/>
      <c r="J757" s="201">
        <v>1</v>
      </c>
      <c r="K757" s="201"/>
      <c r="L757" s="201"/>
      <c r="M757" s="201"/>
      <c r="N757" s="201">
        <v>1</v>
      </c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  <c r="AA757" s="201"/>
      <c r="AB757" s="201"/>
      <c r="AC757" s="201"/>
      <c r="AD757" s="201"/>
      <c r="AE757" s="201"/>
      <c r="AF757" s="201"/>
      <c r="AG757" s="172">
        <f t="shared" si="27"/>
        <v>2</v>
      </c>
      <c r="AH757" s="173">
        <f>D757-AG757</f>
        <v>0</v>
      </c>
    </row>
    <row r="758" spans="2:34" ht="35.25" hidden="1" x14ac:dyDescent="0.5">
      <c r="B758" s="202" t="s">
        <v>1504</v>
      </c>
      <c r="C758" s="202" t="s">
        <v>1505</v>
      </c>
      <c r="D758" s="202">
        <v>2</v>
      </c>
      <c r="E758" s="201"/>
      <c r="F758" s="201"/>
      <c r="G758" s="20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>
        <v>1</v>
      </c>
      <c r="Y758" s="201"/>
      <c r="Z758" s="201"/>
      <c r="AA758" s="201"/>
      <c r="AB758" s="201"/>
      <c r="AC758" s="201"/>
      <c r="AD758" s="201"/>
      <c r="AE758" s="201"/>
      <c r="AF758" s="201"/>
      <c r="AG758" s="172">
        <f t="shared" si="27"/>
        <v>1</v>
      </c>
      <c r="AH758" s="173">
        <f>D758-AG758</f>
        <v>1</v>
      </c>
    </row>
    <row r="759" spans="2:34" ht="35.25" hidden="1" x14ac:dyDescent="0.5">
      <c r="B759" s="202" t="s">
        <v>1506</v>
      </c>
      <c r="C759" s="202" t="s">
        <v>1507</v>
      </c>
      <c r="D759" s="202">
        <v>2</v>
      </c>
      <c r="E759" s="201">
        <v>1</v>
      </c>
      <c r="F759" s="201"/>
      <c r="G759" s="20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>
        <v>1</v>
      </c>
      <c r="T759" s="201"/>
      <c r="U759" s="201"/>
      <c r="V759" s="201"/>
      <c r="W759" s="201"/>
      <c r="X759" s="201"/>
      <c r="Y759" s="201"/>
      <c r="Z759" s="201"/>
      <c r="AA759" s="201"/>
      <c r="AB759" s="201"/>
      <c r="AC759" s="201"/>
      <c r="AD759" s="201"/>
      <c r="AE759" s="201"/>
      <c r="AF759" s="201"/>
      <c r="AG759" s="172">
        <f t="shared" si="27"/>
        <v>1</v>
      </c>
      <c r="AH759" s="173">
        <f>D759-AG759</f>
        <v>1</v>
      </c>
    </row>
    <row r="760" spans="2:34" ht="35.25" hidden="1" x14ac:dyDescent="0.5">
      <c r="B760" s="202" t="s">
        <v>58</v>
      </c>
      <c r="C760" s="202" t="s">
        <v>1154</v>
      </c>
      <c r="D760" s="202">
        <v>3</v>
      </c>
      <c r="E760" s="171">
        <v>1</v>
      </c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  <c r="AC760" s="171"/>
      <c r="AD760" s="171">
        <v>1</v>
      </c>
      <c r="AE760" s="171"/>
      <c r="AF760" s="171">
        <v>1</v>
      </c>
      <c r="AG760" s="172">
        <f>SUM(E760:AF760)</f>
        <v>3</v>
      </c>
      <c r="AH760" s="173">
        <f>D760-AG760</f>
        <v>0</v>
      </c>
    </row>
    <row r="761" spans="2:34" ht="35.25" hidden="1" x14ac:dyDescent="0.5">
      <c r="B761" s="202" t="s">
        <v>1508</v>
      </c>
      <c r="C761" s="202" t="s">
        <v>1509</v>
      </c>
      <c r="D761" s="202">
        <v>1</v>
      </c>
      <c r="E761" s="201"/>
      <c r="F761" s="201"/>
      <c r="G761" s="20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  <c r="AA761" s="201"/>
      <c r="AB761" s="201"/>
      <c r="AC761" s="201"/>
      <c r="AD761" s="201"/>
      <c r="AE761" s="201"/>
      <c r="AF761" s="201"/>
      <c r="AG761" s="172">
        <f t="shared" si="27"/>
        <v>0</v>
      </c>
      <c r="AH761" s="173">
        <f>D761-AG761</f>
        <v>1</v>
      </c>
    </row>
    <row r="762" spans="2:34" ht="35.25" hidden="1" x14ac:dyDescent="0.5">
      <c r="B762" s="202" t="s">
        <v>1102</v>
      </c>
      <c r="C762" s="202" t="s">
        <v>1510</v>
      </c>
      <c r="D762" s="202">
        <v>1</v>
      </c>
      <c r="E762" s="201"/>
      <c r="F762" s="201"/>
      <c r="G762" s="20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  <c r="AA762" s="201"/>
      <c r="AB762" s="201"/>
      <c r="AC762" s="201"/>
      <c r="AD762" s="201"/>
      <c r="AE762" s="201"/>
      <c r="AF762" s="201"/>
      <c r="AG762" s="172">
        <f t="shared" si="27"/>
        <v>0</v>
      </c>
      <c r="AH762" s="173">
        <f>D762-AG762</f>
        <v>1</v>
      </c>
    </row>
    <row r="763" spans="2:34" ht="35.25" hidden="1" x14ac:dyDescent="0.5">
      <c r="B763" s="202" t="s">
        <v>1511</v>
      </c>
      <c r="C763" s="202" t="s">
        <v>1512</v>
      </c>
      <c r="D763" s="202">
        <v>1</v>
      </c>
      <c r="E763" s="201"/>
      <c r="F763" s="201"/>
      <c r="G763" s="20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  <c r="AA763" s="201"/>
      <c r="AB763" s="201"/>
      <c r="AC763" s="201"/>
      <c r="AD763" s="201"/>
      <c r="AE763" s="201"/>
      <c r="AF763" s="201"/>
      <c r="AG763" s="172">
        <f t="shared" si="27"/>
        <v>0</v>
      </c>
      <c r="AH763" s="173">
        <f>D763-AG763</f>
        <v>1</v>
      </c>
    </row>
    <row r="764" spans="2:34" ht="35.25" hidden="1" x14ac:dyDescent="0.5">
      <c r="B764" s="202" t="s">
        <v>1513</v>
      </c>
      <c r="C764" s="202" t="s">
        <v>1514</v>
      </c>
      <c r="D764" s="202">
        <v>1</v>
      </c>
      <c r="E764" s="201"/>
      <c r="F764" s="201"/>
      <c r="G764" s="20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  <c r="AA764" s="201"/>
      <c r="AB764" s="201"/>
      <c r="AC764" s="201"/>
      <c r="AD764" s="201"/>
      <c r="AE764" s="201"/>
      <c r="AF764" s="201"/>
      <c r="AG764" s="172">
        <f t="shared" si="27"/>
        <v>0</v>
      </c>
      <c r="AH764" s="173">
        <f>D764-AG764</f>
        <v>1</v>
      </c>
    </row>
    <row r="765" spans="2:34" ht="35.25" hidden="1" x14ac:dyDescent="0.5">
      <c r="B765" s="202" t="s">
        <v>1515</v>
      </c>
      <c r="C765" s="202" t="s">
        <v>1516</v>
      </c>
      <c r="D765" s="202">
        <v>1</v>
      </c>
      <c r="E765" s="201"/>
      <c r="F765" s="201"/>
      <c r="G765" s="20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  <c r="AA765" s="201"/>
      <c r="AB765" s="201"/>
      <c r="AC765" s="201"/>
      <c r="AD765" s="201"/>
      <c r="AE765" s="201"/>
      <c r="AF765" s="201"/>
      <c r="AG765" s="172">
        <f t="shared" si="27"/>
        <v>0</v>
      </c>
      <c r="AH765" s="173">
        <f>D765-AG765</f>
        <v>1</v>
      </c>
    </row>
    <row r="766" spans="2:34" ht="35.25" hidden="1" x14ac:dyDescent="0.5">
      <c r="B766" s="202" t="s">
        <v>1517</v>
      </c>
      <c r="C766" s="202" t="s">
        <v>1518</v>
      </c>
      <c r="D766" s="202">
        <v>1</v>
      </c>
      <c r="E766" s="201"/>
      <c r="F766" s="201"/>
      <c r="G766" s="201"/>
      <c r="H766" s="201"/>
      <c r="I766" s="201"/>
      <c r="J766" s="201"/>
      <c r="K766" s="201"/>
      <c r="L766" s="201"/>
      <c r="M766" s="201"/>
      <c r="N766" s="201">
        <v>1</v>
      </c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  <c r="AA766" s="201"/>
      <c r="AB766" s="201"/>
      <c r="AC766" s="201"/>
      <c r="AD766" s="201"/>
      <c r="AE766" s="201"/>
      <c r="AF766" s="201"/>
      <c r="AG766" s="172">
        <f t="shared" si="27"/>
        <v>1</v>
      </c>
      <c r="AH766" s="173">
        <f>D766-AG766</f>
        <v>0</v>
      </c>
    </row>
    <row r="767" spans="2:34" ht="35.25" hidden="1" x14ac:dyDescent="0.5">
      <c r="B767" s="202" t="s">
        <v>1519</v>
      </c>
      <c r="C767" s="202" t="s">
        <v>1520</v>
      </c>
      <c r="D767" s="202">
        <v>1</v>
      </c>
      <c r="E767" s="201"/>
      <c r="F767" s="201"/>
      <c r="G767" s="20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  <c r="AA767" s="201"/>
      <c r="AB767" s="201"/>
      <c r="AC767" s="201"/>
      <c r="AD767" s="201"/>
      <c r="AE767" s="201"/>
      <c r="AF767" s="201"/>
      <c r="AG767" s="172">
        <f t="shared" si="27"/>
        <v>0</v>
      </c>
      <c r="AH767" s="173">
        <f>D767-AG767</f>
        <v>1</v>
      </c>
    </row>
    <row r="768" spans="2:34" ht="35.25" hidden="1" x14ac:dyDescent="0.5">
      <c r="B768" s="204" t="s">
        <v>1521</v>
      </c>
      <c r="C768" s="204" t="s">
        <v>1522</v>
      </c>
      <c r="D768" s="205">
        <v>5</v>
      </c>
      <c r="E768" s="201">
        <v>1</v>
      </c>
      <c r="F768" s="201"/>
      <c r="G768" s="201"/>
      <c r="H768" s="201"/>
      <c r="I768" s="201"/>
      <c r="J768" s="201">
        <v>1</v>
      </c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>
        <v>2</v>
      </c>
      <c r="Y768" s="201"/>
      <c r="Z768" s="201"/>
      <c r="AA768" s="201"/>
      <c r="AB768" s="201"/>
      <c r="AC768" s="201"/>
      <c r="AD768" s="201"/>
      <c r="AE768" s="201"/>
      <c r="AF768" s="201"/>
      <c r="AG768" s="172">
        <f t="shared" si="27"/>
        <v>3</v>
      </c>
      <c r="AH768" s="173">
        <f>D768-AG768</f>
        <v>2</v>
      </c>
    </row>
    <row r="769" spans="1:34" ht="35.25" hidden="1" x14ac:dyDescent="0.5">
      <c r="B769" s="206" t="s">
        <v>855</v>
      </c>
      <c r="C769" s="206" t="s">
        <v>1523</v>
      </c>
      <c r="D769" s="206">
        <v>5</v>
      </c>
      <c r="E769" s="201">
        <v>2</v>
      </c>
      <c r="F769" s="201"/>
      <c r="G769" s="201"/>
      <c r="H769" s="201"/>
      <c r="I769" s="201"/>
      <c r="J769" s="201">
        <v>2</v>
      </c>
      <c r="K769" s="201"/>
      <c r="L769" s="201"/>
      <c r="M769" s="201">
        <v>1</v>
      </c>
      <c r="N769" s="201"/>
      <c r="O769" s="201"/>
      <c r="P769" s="201"/>
      <c r="Q769" s="201"/>
      <c r="R769" s="201"/>
      <c r="S769" s="201"/>
      <c r="T769" s="201"/>
      <c r="U769" s="201"/>
      <c r="V769" s="201"/>
      <c r="W769" s="201">
        <v>2</v>
      </c>
      <c r="X769" s="201"/>
      <c r="Y769" s="201"/>
      <c r="Z769" s="201"/>
      <c r="AA769" s="201"/>
      <c r="AB769" s="201"/>
      <c r="AC769" s="201"/>
      <c r="AD769" s="201"/>
      <c r="AE769" s="201"/>
      <c r="AF769" s="201"/>
      <c r="AG769" s="172">
        <f t="shared" ref="AG769:AG775" si="28">SUM(F769:AF769)</f>
        <v>5</v>
      </c>
      <c r="AH769" s="173">
        <f>D769-AG769</f>
        <v>0</v>
      </c>
    </row>
    <row r="770" spans="1:34" ht="35.25" hidden="1" x14ac:dyDescent="0.5">
      <c r="B770" s="206" t="s">
        <v>1458</v>
      </c>
      <c r="C770" s="206" t="s">
        <v>1459</v>
      </c>
      <c r="D770" s="206">
        <v>5</v>
      </c>
      <c r="E770" s="201"/>
      <c r="F770" s="201"/>
      <c r="G770" s="20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>
        <v>1</v>
      </c>
      <c r="T770" s="201"/>
      <c r="U770" s="201"/>
      <c r="V770" s="201"/>
      <c r="W770" s="201"/>
      <c r="X770" s="201"/>
      <c r="Y770" s="201"/>
      <c r="Z770" s="201"/>
      <c r="AA770" s="201"/>
      <c r="AB770" s="201"/>
      <c r="AC770" s="201"/>
      <c r="AD770" s="201"/>
      <c r="AE770" s="201"/>
      <c r="AF770" s="201"/>
      <c r="AG770" s="172">
        <f t="shared" si="28"/>
        <v>1</v>
      </c>
      <c r="AH770" s="173">
        <f>D770-AG770</f>
        <v>4</v>
      </c>
    </row>
    <row r="771" spans="1:34" ht="35.25" hidden="1" x14ac:dyDescent="0.5">
      <c r="B771" s="206" t="s">
        <v>1524</v>
      </c>
      <c r="C771" s="206" t="s">
        <v>1525</v>
      </c>
      <c r="D771" s="206">
        <v>3</v>
      </c>
      <c r="E771" s="201"/>
      <c r="F771" s="201"/>
      <c r="G771" s="20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  <c r="AA771" s="201"/>
      <c r="AB771" s="201"/>
      <c r="AC771" s="201"/>
      <c r="AD771" s="201"/>
      <c r="AE771" s="201"/>
      <c r="AF771" s="201"/>
      <c r="AG771" s="172">
        <f t="shared" si="28"/>
        <v>0</v>
      </c>
      <c r="AH771" s="173">
        <f>D771-AG771</f>
        <v>3</v>
      </c>
    </row>
    <row r="772" spans="1:34" ht="35.25" hidden="1" x14ac:dyDescent="0.5">
      <c r="B772" s="206" t="s">
        <v>232</v>
      </c>
      <c r="C772" s="206" t="s">
        <v>1526</v>
      </c>
      <c r="D772" s="206">
        <v>3</v>
      </c>
      <c r="E772" s="201"/>
      <c r="F772" s="201"/>
      <c r="G772" s="20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  <c r="AA772" s="201"/>
      <c r="AB772" s="201"/>
      <c r="AC772" s="201"/>
      <c r="AD772" s="201"/>
      <c r="AE772" s="201"/>
      <c r="AF772" s="201"/>
      <c r="AG772" s="172">
        <f t="shared" si="28"/>
        <v>0</v>
      </c>
      <c r="AH772" s="173">
        <f>D772-AG772</f>
        <v>3</v>
      </c>
    </row>
    <row r="773" spans="1:34" ht="35.25" hidden="1" x14ac:dyDescent="0.5">
      <c r="B773" s="206" t="s">
        <v>228</v>
      </c>
      <c r="C773" s="206" t="s">
        <v>1527</v>
      </c>
      <c r="D773" s="206">
        <v>3</v>
      </c>
      <c r="E773" s="201"/>
      <c r="F773" s="201"/>
      <c r="G773" s="20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  <c r="AA773" s="201"/>
      <c r="AB773" s="201"/>
      <c r="AC773" s="201"/>
      <c r="AD773" s="201"/>
      <c r="AE773" s="201"/>
      <c r="AF773" s="201"/>
      <c r="AG773" s="172">
        <f t="shared" si="28"/>
        <v>0</v>
      </c>
      <c r="AH773" s="173">
        <f>D773-AG773</f>
        <v>3</v>
      </c>
    </row>
    <row r="774" spans="1:34" ht="35.25" hidden="1" x14ac:dyDescent="0.5">
      <c r="B774" s="206" t="s">
        <v>1528</v>
      </c>
      <c r="C774" s="206" t="s">
        <v>1529</v>
      </c>
      <c r="D774" s="206">
        <v>3</v>
      </c>
      <c r="E774" s="201"/>
      <c r="F774" s="201"/>
      <c r="G774" s="201"/>
      <c r="H774" s="201"/>
      <c r="I774" s="201"/>
      <c r="J774" s="201">
        <v>1</v>
      </c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  <c r="AA774" s="201"/>
      <c r="AB774" s="201"/>
      <c r="AC774" s="201"/>
      <c r="AD774" s="201"/>
      <c r="AE774" s="201"/>
      <c r="AF774" s="201"/>
      <c r="AG774" s="172">
        <f t="shared" si="28"/>
        <v>1</v>
      </c>
      <c r="AH774" s="173">
        <f>D774-AG774</f>
        <v>2</v>
      </c>
    </row>
    <row r="775" spans="1:34" ht="35.25" hidden="1" x14ac:dyDescent="0.5">
      <c r="B775" s="206" t="s">
        <v>1530</v>
      </c>
      <c r="C775" s="206" t="s">
        <v>1531</v>
      </c>
      <c r="D775" s="206">
        <v>48</v>
      </c>
      <c r="E775" s="201"/>
      <c r="F775" s="201"/>
      <c r="G775" s="201"/>
      <c r="H775" s="201"/>
      <c r="I775" s="201"/>
      <c r="J775" s="201"/>
      <c r="K775" s="201"/>
      <c r="L775" s="201"/>
      <c r="M775" s="201"/>
      <c r="N775" s="201">
        <v>24</v>
      </c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  <c r="AA775" s="201"/>
      <c r="AB775" s="201"/>
      <c r="AC775" s="201"/>
      <c r="AD775" s="201"/>
      <c r="AE775" s="201"/>
      <c r="AF775" s="201"/>
      <c r="AG775" s="172">
        <f t="shared" si="28"/>
        <v>24</v>
      </c>
      <c r="AH775" s="173">
        <f>D775-AG775</f>
        <v>24</v>
      </c>
    </row>
    <row r="776" spans="1:34" hidden="1" x14ac:dyDescent="0.25">
      <c r="E776">
        <v>1</v>
      </c>
      <c r="R776"/>
    </row>
    <row r="777" spans="1:34" hidden="1" x14ac:dyDescent="0.25">
      <c r="R777" t="s">
        <v>1029</v>
      </c>
    </row>
    <row r="778" spans="1:34" ht="31.5" hidden="1" x14ac:dyDescent="0.5">
      <c r="B778" s="207" t="s">
        <v>1463</v>
      </c>
      <c r="C778" s="207" t="s">
        <v>1464</v>
      </c>
      <c r="D778" s="207">
        <v>7</v>
      </c>
      <c r="M778">
        <v>2</v>
      </c>
      <c r="R778"/>
    </row>
    <row r="779" spans="1:34" hidden="1" x14ac:dyDescent="0.25">
      <c r="M779" t="s">
        <v>1029</v>
      </c>
      <c r="R779"/>
    </row>
    <row r="780" spans="1:34" ht="35.25" hidden="1" x14ac:dyDescent="0.5">
      <c r="B780" s="210" t="s">
        <v>1532</v>
      </c>
      <c r="C780" s="210" t="s">
        <v>1533</v>
      </c>
      <c r="D780" s="210">
        <v>1</v>
      </c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  <c r="AC780" s="171"/>
      <c r="AD780" s="171"/>
      <c r="AE780" s="171"/>
      <c r="AF780" s="171"/>
      <c r="AG780" s="172">
        <f t="shared" ref="AG780" si="29">SUM(F780:AF780)</f>
        <v>0</v>
      </c>
      <c r="AH780" s="173">
        <f>D780-AG780</f>
        <v>1</v>
      </c>
    </row>
    <row r="781" spans="1:34" ht="35.25" hidden="1" x14ac:dyDescent="0.5">
      <c r="B781" s="213" t="s">
        <v>1539</v>
      </c>
      <c r="C781" s="213" t="s">
        <v>1540</v>
      </c>
      <c r="D781" s="213">
        <v>5</v>
      </c>
      <c r="E781" s="171"/>
      <c r="F781" s="171"/>
      <c r="G781" s="171"/>
      <c r="H781" s="171"/>
      <c r="I781" s="171"/>
      <c r="J781" s="171"/>
      <c r="K781" s="171"/>
      <c r="L781" s="171">
        <v>1</v>
      </c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  <c r="AC781" s="171"/>
      <c r="AD781" s="171"/>
      <c r="AE781" s="171"/>
      <c r="AF781" s="171"/>
      <c r="AG781" s="172"/>
      <c r="AH781" s="173"/>
    </row>
    <row r="782" spans="1:34" ht="36" hidden="1" x14ac:dyDescent="0.55000000000000004">
      <c r="A782" s="127">
        <v>506</v>
      </c>
      <c r="B782" s="214" t="s">
        <v>1542</v>
      </c>
      <c r="C782" s="214" t="s">
        <v>1543</v>
      </c>
      <c r="D782" s="214">
        <v>1</v>
      </c>
      <c r="E782" s="215"/>
      <c r="F782" s="201"/>
      <c r="G782" s="20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  <c r="AA782" s="201"/>
      <c r="AB782" s="201"/>
      <c r="AC782" s="201"/>
      <c r="AD782" s="201"/>
      <c r="AE782" s="201"/>
      <c r="AF782" s="201"/>
      <c r="AG782" s="172">
        <f t="shared" ref="AG782:AG796" si="30">SUM(F782:AF782)</f>
        <v>0</v>
      </c>
      <c r="AH782" s="173">
        <f t="shared" ref="AH782:AH797" si="31">D782-AG782</f>
        <v>1</v>
      </c>
    </row>
    <row r="783" spans="1:34" ht="36" hidden="1" x14ac:dyDescent="0.55000000000000004">
      <c r="A783" s="127">
        <v>506</v>
      </c>
      <c r="B783" s="214" t="s">
        <v>1544</v>
      </c>
      <c r="C783" s="214" t="s">
        <v>1545</v>
      </c>
      <c r="D783" s="214">
        <v>2</v>
      </c>
      <c r="E783" s="215"/>
      <c r="F783" s="201"/>
      <c r="G783" s="20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  <c r="AA783" s="201"/>
      <c r="AB783" s="201"/>
      <c r="AC783" s="201"/>
      <c r="AD783" s="201"/>
      <c r="AE783" s="201"/>
      <c r="AF783" s="201"/>
      <c r="AG783" s="172">
        <f t="shared" si="30"/>
        <v>0</v>
      </c>
      <c r="AH783" s="173">
        <f t="shared" si="31"/>
        <v>2</v>
      </c>
    </row>
    <row r="784" spans="1:34" ht="36" hidden="1" x14ac:dyDescent="0.55000000000000004">
      <c r="A784" s="127">
        <v>506</v>
      </c>
      <c r="B784" s="214" t="s">
        <v>1546</v>
      </c>
      <c r="C784" s="214" t="s">
        <v>1547</v>
      </c>
      <c r="D784" s="214">
        <v>1</v>
      </c>
      <c r="E784" s="215"/>
      <c r="F784" s="201"/>
      <c r="G784" s="20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  <c r="AA784" s="201"/>
      <c r="AB784" s="201"/>
      <c r="AC784" s="201"/>
      <c r="AD784" s="201"/>
      <c r="AE784" s="201"/>
      <c r="AF784" s="201"/>
      <c r="AG784" s="172">
        <f t="shared" si="30"/>
        <v>0</v>
      </c>
      <c r="AH784" s="173">
        <f t="shared" si="31"/>
        <v>1</v>
      </c>
    </row>
    <row r="785" spans="1:34" ht="36" hidden="1" x14ac:dyDescent="0.55000000000000004">
      <c r="A785" s="127">
        <v>506</v>
      </c>
      <c r="B785" s="214" t="s">
        <v>1548</v>
      </c>
      <c r="C785" s="214" t="s">
        <v>1549</v>
      </c>
      <c r="D785" s="214">
        <v>1</v>
      </c>
      <c r="E785" s="215"/>
      <c r="F785" s="201"/>
      <c r="G785" s="20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  <c r="AA785" s="201"/>
      <c r="AB785" s="201"/>
      <c r="AC785" s="201"/>
      <c r="AD785" s="201"/>
      <c r="AE785" s="201"/>
      <c r="AF785" s="201"/>
      <c r="AG785" s="172">
        <f t="shared" si="30"/>
        <v>0</v>
      </c>
      <c r="AH785" s="173">
        <f t="shared" si="31"/>
        <v>1</v>
      </c>
    </row>
    <row r="786" spans="1:34" ht="36" hidden="1" x14ac:dyDescent="0.55000000000000004">
      <c r="A786" s="127">
        <v>506</v>
      </c>
      <c r="B786" s="214" t="s">
        <v>1550</v>
      </c>
      <c r="C786" s="214" t="s">
        <v>1551</v>
      </c>
      <c r="D786" s="214">
        <v>1</v>
      </c>
      <c r="E786" s="215"/>
      <c r="F786" s="201"/>
      <c r="G786" s="20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  <c r="AA786" s="201"/>
      <c r="AB786" s="201"/>
      <c r="AC786" s="201"/>
      <c r="AD786" s="201"/>
      <c r="AE786" s="201"/>
      <c r="AF786" s="201"/>
      <c r="AG786" s="172">
        <f t="shared" si="30"/>
        <v>0</v>
      </c>
      <c r="AH786" s="173">
        <f t="shared" si="31"/>
        <v>1</v>
      </c>
    </row>
    <row r="787" spans="1:34" ht="36" hidden="1" x14ac:dyDescent="0.55000000000000004">
      <c r="A787" s="127">
        <v>506</v>
      </c>
      <c r="B787" s="214" t="s">
        <v>1552</v>
      </c>
      <c r="C787" s="214" t="s">
        <v>1553</v>
      </c>
      <c r="D787" s="214">
        <v>2</v>
      </c>
      <c r="E787" s="215"/>
      <c r="F787" s="201"/>
      <c r="G787" s="201"/>
      <c r="H787" s="201"/>
      <c r="I787" s="201">
        <v>1</v>
      </c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  <c r="AA787" s="201"/>
      <c r="AB787" s="201"/>
      <c r="AC787" s="201"/>
      <c r="AD787" s="201"/>
      <c r="AE787" s="201"/>
      <c r="AF787" s="201"/>
      <c r="AG787" s="172">
        <f t="shared" si="30"/>
        <v>1</v>
      </c>
      <c r="AH787" s="173">
        <f t="shared" si="31"/>
        <v>1</v>
      </c>
    </row>
    <row r="788" spans="1:34" ht="36" hidden="1" x14ac:dyDescent="0.55000000000000004">
      <c r="A788" s="127">
        <v>506</v>
      </c>
      <c r="B788" s="214" t="s">
        <v>1554</v>
      </c>
      <c r="C788" s="214" t="s">
        <v>1555</v>
      </c>
      <c r="D788" s="214">
        <v>2</v>
      </c>
      <c r="E788" s="215"/>
      <c r="F788" s="201"/>
      <c r="G788" s="20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  <c r="AA788" s="201"/>
      <c r="AB788" s="201"/>
      <c r="AC788" s="201"/>
      <c r="AD788" s="201"/>
      <c r="AE788" s="201"/>
      <c r="AF788" s="201"/>
      <c r="AG788" s="172">
        <f t="shared" si="30"/>
        <v>0</v>
      </c>
      <c r="AH788" s="173">
        <f t="shared" si="31"/>
        <v>2</v>
      </c>
    </row>
    <row r="789" spans="1:34" ht="36" hidden="1" x14ac:dyDescent="0.55000000000000004">
      <c r="A789" s="127">
        <v>506</v>
      </c>
      <c r="B789" s="214" t="s">
        <v>1556</v>
      </c>
      <c r="C789" s="214" t="s">
        <v>1557</v>
      </c>
      <c r="D789" s="214">
        <v>1</v>
      </c>
      <c r="E789" s="215"/>
      <c r="F789" s="201"/>
      <c r="G789" s="20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  <c r="AA789" s="201"/>
      <c r="AB789" s="201"/>
      <c r="AC789" s="201"/>
      <c r="AD789" s="201"/>
      <c r="AE789" s="201"/>
      <c r="AF789" s="201"/>
      <c r="AG789" s="172">
        <f t="shared" si="30"/>
        <v>0</v>
      </c>
      <c r="AH789" s="173">
        <f t="shared" si="31"/>
        <v>1</v>
      </c>
    </row>
    <row r="790" spans="1:34" ht="36" hidden="1" x14ac:dyDescent="0.55000000000000004">
      <c r="A790" s="127">
        <v>506</v>
      </c>
      <c r="B790" s="214" t="s">
        <v>1558</v>
      </c>
      <c r="C790" s="214" t="s">
        <v>1559</v>
      </c>
      <c r="D790" s="214">
        <v>2</v>
      </c>
      <c r="E790" s="215"/>
      <c r="F790" s="201"/>
      <c r="G790" s="20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  <c r="AA790" s="201"/>
      <c r="AB790" s="201"/>
      <c r="AC790" s="201"/>
      <c r="AD790" s="201"/>
      <c r="AE790" s="201"/>
      <c r="AF790" s="201"/>
      <c r="AG790" s="172">
        <f t="shared" si="30"/>
        <v>0</v>
      </c>
      <c r="AH790" s="173">
        <f t="shared" si="31"/>
        <v>2</v>
      </c>
    </row>
    <row r="791" spans="1:34" ht="36" hidden="1" x14ac:dyDescent="0.55000000000000004">
      <c r="A791" s="127">
        <v>506</v>
      </c>
      <c r="B791" s="214" t="s">
        <v>1560</v>
      </c>
      <c r="C791" s="214" t="s">
        <v>1561</v>
      </c>
      <c r="D791" s="214">
        <v>2</v>
      </c>
      <c r="E791" s="215"/>
      <c r="F791" s="201"/>
      <c r="G791" s="201"/>
      <c r="H791" s="201"/>
      <c r="I791" s="201">
        <v>1</v>
      </c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  <c r="AA791" s="201"/>
      <c r="AB791" s="201"/>
      <c r="AC791" s="201"/>
      <c r="AD791" s="201"/>
      <c r="AE791" s="201"/>
      <c r="AF791" s="201"/>
      <c r="AG791" s="172">
        <f t="shared" si="30"/>
        <v>1</v>
      </c>
      <c r="AH791" s="173">
        <f t="shared" si="31"/>
        <v>1</v>
      </c>
    </row>
    <row r="792" spans="1:34" ht="36" hidden="1" x14ac:dyDescent="0.55000000000000004">
      <c r="A792" s="127">
        <v>506</v>
      </c>
      <c r="B792" s="214" t="s">
        <v>1562</v>
      </c>
      <c r="C792" s="214" t="s">
        <v>1563</v>
      </c>
      <c r="D792" s="214">
        <v>1</v>
      </c>
      <c r="E792" s="215"/>
      <c r="F792" s="201"/>
      <c r="G792" s="201"/>
      <c r="H792" s="201"/>
      <c r="I792" s="201">
        <v>1</v>
      </c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  <c r="AA792" s="201"/>
      <c r="AB792" s="201"/>
      <c r="AC792" s="201"/>
      <c r="AD792" s="201"/>
      <c r="AE792" s="201"/>
      <c r="AF792" s="201"/>
      <c r="AG792" s="172">
        <f t="shared" si="30"/>
        <v>1</v>
      </c>
      <c r="AH792" s="173">
        <f t="shared" si="31"/>
        <v>0</v>
      </c>
    </row>
    <row r="793" spans="1:34" ht="36" hidden="1" x14ac:dyDescent="0.55000000000000004">
      <c r="A793" s="127">
        <v>506</v>
      </c>
      <c r="B793" s="214" t="s">
        <v>1564</v>
      </c>
      <c r="C793" s="214" t="s">
        <v>1565</v>
      </c>
      <c r="D793" s="214">
        <v>2</v>
      </c>
      <c r="E793" s="215"/>
      <c r="F793" s="201"/>
      <c r="G793" s="20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  <c r="AA793" s="201"/>
      <c r="AB793" s="201"/>
      <c r="AC793" s="201"/>
      <c r="AD793" s="201"/>
      <c r="AE793" s="201"/>
      <c r="AF793" s="201"/>
      <c r="AG793" s="172">
        <f t="shared" si="30"/>
        <v>0</v>
      </c>
      <c r="AH793" s="173">
        <f t="shared" si="31"/>
        <v>2</v>
      </c>
    </row>
    <row r="794" spans="1:34" ht="36" hidden="1" x14ac:dyDescent="0.55000000000000004">
      <c r="A794" s="127">
        <v>506</v>
      </c>
      <c r="B794" s="214" t="s">
        <v>1566</v>
      </c>
      <c r="C794" s="214" t="s">
        <v>1567</v>
      </c>
      <c r="D794" s="214">
        <v>2</v>
      </c>
      <c r="E794" s="215"/>
      <c r="F794" s="201"/>
      <c r="G794" s="20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  <c r="AA794" s="201"/>
      <c r="AB794" s="201"/>
      <c r="AC794" s="201"/>
      <c r="AD794" s="201"/>
      <c r="AE794" s="201"/>
      <c r="AF794" s="201"/>
      <c r="AG794" s="172">
        <f t="shared" si="30"/>
        <v>0</v>
      </c>
      <c r="AH794" s="173">
        <f t="shared" si="31"/>
        <v>2</v>
      </c>
    </row>
    <row r="795" spans="1:34" ht="36" hidden="1" x14ac:dyDescent="0.55000000000000004">
      <c r="A795" s="127">
        <v>506</v>
      </c>
      <c r="B795" s="214" t="s">
        <v>1544</v>
      </c>
      <c r="C795" s="214" t="s">
        <v>1545</v>
      </c>
      <c r="D795" s="214">
        <v>1</v>
      </c>
      <c r="E795" s="215"/>
      <c r="F795" s="201"/>
      <c r="G795" s="201"/>
      <c r="H795" s="201"/>
      <c r="I795" s="201">
        <v>1</v>
      </c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  <c r="AA795" s="201"/>
      <c r="AB795" s="201"/>
      <c r="AC795" s="201"/>
      <c r="AD795" s="201"/>
      <c r="AE795" s="201"/>
      <c r="AF795" s="201"/>
      <c r="AG795" s="172">
        <f t="shared" si="30"/>
        <v>1</v>
      </c>
      <c r="AH795" s="173">
        <f t="shared" si="31"/>
        <v>0</v>
      </c>
    </row>
    <row r="796" spans="1:34" ht="36" hidden="1" x14ac:dyDescent="0.55000000000000004">
      <c r="A796" s="127">
        <v>506</v>
      </c>
      <c r="B796" s="214" t="s">
        <v>1542</v>
      </c>
      <c r="C796" s="214" t="s">
        <v>1543</v>
      </c>
      <c r="D796" s="214">
        <v>2</v>
      </c>
      <c r="E796" s="215"/>
      <c r="F796" s="201"/>
      <c r="G796" s="20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  <c r="AA796" s="201"/>
      <c r="AB796" s="201"/>
      <c r="AC796" s="201"/>
      <c r="AD796" s="201"/>
      <c r="AE796" s="201"/>
      <c r="AF796" s="201"/>
      <c r="AG796" s="172">
        <f t="shared" si="30"/>
        <v>0</v>
      </c>
      <c r="AH796" s="173">
        <f t="shared" si="31"/>
        <v>2</v>
      </c>
    </row>
    <row r="797" spans="1:34" ht="35.25" x14ac:dyDescent="0.5">
      <c r="AH797" s="173">
        <f t="shared" si="31"/>
        <v>0</v>
      </c>
    </row>
  </sheetData>
  <autoFilter ref="B2:C796" xr:uid="{E48D4269-4F56-4CE5-835C-6DEE15B06B53}">
    <filterColumn colId="1">
      <filters>
        <filter val="BARREL 100LT RED"/>
      </filters>
    </filterColumn>
  </autoFilter>
  <pageMargins left="0.7" right="0.7" top="0.75" bottom="0.75" header="0.3" footer="0.3"/>
  <pageSetup paperSize="9" scale="2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0A8B-7CB1-4AE9-A783-AB4D9EB2944C}">
  <dimension ref="A1"/>
  <sheetViews>
    <sheetView workbookViewId="0">
      <selection activeCell="C570" activeCellId="3" sqref="L5 D91 D560 C570"/>
    </sheetView>
  </sheetViews>
  <sheetFormatPr defaultRowHeight="15" x14ac:dyDescent="0.25"/>
  <sheetData>
    <row r="1" spans="1:1" x14ac:dyDescent="0.25">
      <c r="A1">
        <f>1+2+3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FEBC-D483-4144-AA0F-FFD99A154AF2}">
  <sheetPr>
    <pageSetUpPr fitToPage="1"/>
  </sheetPr>
  <dimension ref="A1:W521"/>
  <sheetViews>
    <sheetView topLeftCell="B1" workbookViewId="0">
      <selection activeCell="AB7" sqref="AB7"/>
    </sheetView>
  </sheetViews>
  <sheetFormatPr defaultRowHeight="15" x14ac:dyDescent="0.25"/>
  <cols>
    <col min="1" max="1" width="4" bestFit="1" customWidth="1"/>
    <col min="2" max="2" width="24.5703125" customWidth="1"/>
    <col min="3" max="3" width="71.7109375" customWidth="1"/>
    <col min="4" max="4" width="10.140625" bestFit="1" customWidth="1"/>
    <col min="5" max="5" width="1" hidden="1" customWidth="1"/>
    <col min="6" max="6" width="9.28515625" hidden="1" customWidth="1"/>
    <col min="7" max="7" width="0.42578125" hidden="1" customWidth="1"/>
    <col min="8" max="9" width="9.28515625" hidden="1" customWidth="1"/>
    <col min="10" max="10" width="0.7109375" hidden="1" customWidth="1"/>
    <col min="11" max="11" width="9.28515625" hidden="1" customWidth="1"/>
    <col min="12" max="12" width="3.42578125" hidden="1" customWidth="1"/>
    <col min="13" max="14" width="9.28515625" hidden="1" customWidth="1"/>
    <col min="15" max="15" width="4.7109375" hidden="1" customWidth="1"/>
    <col min="16" max="16" width="2.42578125" hidden="1" customWidth="1"/>
    <col min="17" max="17" width="9.28515625" hidden="1" customWidth="1"/>
    <col min="18" max="19" width="2.7109375" hidden="1" customWidth="1"/>
    <col min="20" max="20" width="4" hidden="1" customWidth="1"/>
    <col min="21" max="21" width="4.7109375" hidden="1" customWidth="1"/>
    <col min="22" max="22" width="76.140625" customWidth="1"/>
    <col min="23" max="23" width="118.140625" customWidth="1"/>
  </cols>
  <sheetData>
    <row r="1" spans="1:23" ht="18.75" x14ac:dyDescent="0.3">
      <c r="A1" s="3" t="s">
        <v>0</v>
      </c>
      <c r="B1" s="5" t="s">
        <v>1</v>
      </c>
      <c r="C1" s="5" t="s">
        <v>2</v>
      </c>
      <c r="D1" s="5" t="s">
        <v>3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807</v>
      </c>
      <c r="Q1" s="6" t="s">
        <v>16</v>
      </c>
      <c r="R1" s="6" t="s">
        <v>17</v>
      </c>
      <c r="S1" s="6" t="s">
        <v>18</v>
      </c>
      <c r="T1" s="6" t="s">
        <v>969</v>
      </c>
      <c r="U1" s="6" t="s">
        <v>19</v>
      </c>
      <c r="V1" s="6" t="s">
        <v>954</v>
      </c>
      <c r="W1" s="6" t="s">
        <v>4</v>
      </c>
    </row>
    <row r="2" spans="1:23" ht="18.75" x14ac:dyDescent="0.3">
      <c r="A2" s="4">
        <v>1</v>
      </c>
      <c r="B2" s="7" t="s">
        <v>20</v>
      </c>
      <c r="C2" s="7" t="s">
        <v>21</v>
      </c>
      <c r="D2" s="8">
        <v>19</v>
      </c>
      <c r="E2" s="7">
        <v>1</v>
      </c>
      <c r="F2" s="7"/>
      <c r="G2" s="7"/>
      <c r="H2" s="7">
        <v>2</v>
      </c>
      <c r="I2" s="7"/>
      <c r="J2" s="7"/>
      <c r="K2" s="7">
        <v>2</v>
      </c>
      <c r="L2" s="7"/>
      <c r="M2" s="7"/>
      <c r="N2" s="7"/>
      <c r="O2" s="7"/>
      <c r="P2" s="7">
        <v>1</v>
      </c>
      <c r="Q2" s="7">
        <v>1</v>
      </c>
      <c r="R2" s="7"/>
      <c r="S2" s="7"/>
      <c r="T2" s="7"/>
      <c r="U2" s="7">
        <v>3</v>
      </c>
      <c r="V2" s="7">
        <f>SUM(E2:U2)</f>
        <v>10</v>
      </c>
      <c r="W2" s="7">
        <f>D2-V2</f>
        <v>9</v>
      </c>
    </row>
    <row r="3" spans="1:23" ht="18.75" x14ac:dyDescent="0.3">
      <c r="A3" s="4">
        <v>2</v>
      </c>
      <c r="B3" s="7" t="s">
        <v>22</v>
      </c>
      <c r="C3" s="7" t="s">
        <v>23</v>
      </c>
      <c r="D3" s="8">
        <v>18</v>
      </c>
      <c r="E3" s="7">
        <v>1</v>
      </c>
      <c r="F3" s="7"/>
      <c r="G3" s="7"/>
      <c r="H3" s="7">
        <v>2</v>
      </c>
      <c r="I3" s="7"/>
      <c r="J3" s="7"/>
      <c r="K3" s="7">
        <v>2</v>
      </c>
      <c r="L3" s="7"/>
      <c r="M3" s="7"/>
      <c r="N3" s="7"/>
      <c r="O3" s="7"/>
      <c r="P3" s="7">
        <v>1</v>
      </c>
      <c r="Q3" s="7">
        <v>1</v>
      </c>
      <c r="R3" s="7"/>
      <c r="S3" s="7"/>
      <c r="T3" s="7"/>
      <c r="U3" s="7">
        <v>1</v>
      </c>
      <c r="V3" s="7">
        <f t="shared" ref="V3:V66" si="0">SUM(E3:U3)</f>
        <v>8</v>
      </c>
      <c r="W3" s="7">
        <f t="shared" ref="W3:W66" si="1">D3-V3</f>
        <v>10</v>
      </c>
    </row>
    <row r="4" spans="1:23" ht="18.75" x14ac:dyDescent="0.3">
      <c r="A4" s="4">
        <v>3</v>
      </c>
      <c r="B4" s="7" t="s">
        <v>24</v>
      </c>
      <c r="C4" s="7" t="s">
        <v>25</v>
      </c>
      <c r="D4" s="8">
        <v>11</v>
      </c>
      <c r="E4" s="7">
        <v>1</v>
      </c>
      <c r="F4" s="7"/>
      <c r="G4" s="7"/>
      <c r="H4" s="7">
        <v>1</v>
      </c>
      <c r="I4" s="7"/>
      <c r="J4" s="7"/>
      <c r="K4" s="7">
        <v>1</v>
      </c>
      <c r="L4" s="7"/>
      <c r="M4" s="7"/>
      <c r="N4" s="7"/>
      <c r="O4" s="7"/>
      <c r="P4" s="7">
        <v>4</v>
      </c>
      <c r="Q4" s="7">
        <v>1</v>
      </c>
      <c r="R4" s="7"/>
      <c r="S4" s="7"/>
      <c r="T4" s="7"/>
      <c r="U4" s="7"/>
      <c r="V4" s="7">
        <f t="shared" si="0"/>
        <v>8</v>
      </c>
      <c r="W4" s="7">
        <f t="shared" si="1"/>
        <v>3</v>
      </c>
    </row>
    <row r="5" spans="1:23" ht="18.75" x14ac:dyDescent="0.3">
      <c r="A5" s="4">
        <v>4</v>
      </c>
      <c r="B5" s="7" t="s">
        <v>26</v>
      </c>
      <c r="C5" s="7" t="s">
        <v>27</v>
      </c>
      <c r="D5" s="8">
        <v>21</v>
      </c>
      <c r="E5" s="7">
        <v>3</v>
      </c>
      <c r="F5" s="7"/>
      <c r="G5" s="7"/>
      <c r="H5" s="7">
        <v>1</v>
      </c>
      <c r="I5" s="7"/>
      <c r="J5" s="7"/>
      <c r="K5" s="7">
        <v>5</v>
      </c>
      <c r="L5" s="7"/>
      <c r="M5" s="7"/>
      <c r="N5" s="7"/>
      <c r="O5" s="7"/>
      <c r="P5" s="7">
        <v>5</v>
      </c>
      <c r="Q5" s="7">
        <v>4</v>
      </c>
      <c r="R5" s="7"/>
      <c r="S5" s="7"/>
      <c r="T5" s="7"/>
      <c r="U5" s="7"/>
      <c r="V5" s="7">
        <f t="shared" si="0"/>
        <v>18</v>
      </c>
      <c r="W5" s="7">
        <f t="shared" si="1"/>
        <v>3</v>
      </c>
    </row>
    <row r="6" spans="1:23" ht="18.75" x14ac:dyDescent="0.3">
      <c r="A6" s="4">
        <v>5</v>
      </c>
      <c r="B6" s="7" t="s">
        <v>28</v>
      </c>
      <c r="C6" s="7" t="s">
        <v>29</v>
      </c>
      <c r="D6" s="8">
        <v>5</v>
      </c>
      <c r="E6" s="7"/>
      <c r="F6" s="7"/>
      <c r="G6" s="7"/>
      <c r="H6" s="7">
        <v>1</v>
      </c>
      <c r="I6" s="7"/>
      <c r="J6" s="7"/>
      <c r="K6" s="7"/>
      <c r="L6" s="7"/>
      <c r="M6" s="7"/>
      <c r="N6" s="7"/>
      <c r="O6" s="7"/>
      <c r="P6" s="7">
        <v>1</v>
      </c>
      <c r="Q6" s="7">
        <v>1</v>
      </c>
      <c r="R6" s="7"/>
      <c r="S6" s="7"/>
      <c r="T6" s="7"/>
      <c r="U6" s="7"/>
      <c r="V6" s="7">
        <f t="shared" si="0"/>
        <v>3</v>
      </c>
      <c r="W6" s="7">
        <f t="shared" si="1"/>
        <v>2</v>
      </c>
    </row>
    <row r="7" spans="1:23" ht="18.75" x14ac:dyDescent="0.3">
      <c r="A7" s="4">
        <v>6</v>
      </c>
      <c r="B7" s="7" t="s">
        <v>30</v>
      </c>
      <c r="C7" s="7" t="s">
        <v>31</v>
      </c>
      <c r="D7" s="8">
        <v>21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>
        <v>10</v>
      </c>
      <c r="Q7" s="7">
        <v>5</v>
      </c>
      <c r="R7" s="7"/>
      <c r="S7" s="7"/>
      <c r="T7" s="7"/>
      <c r="U7" s="7"/>
      <c r="V7" s="7">
        <f t="shared" si="0"/>
        <v>15</v>
      </c>
      <c r="W7" s="7">
        <f t="shared" si="1"/>
        <v>6</v>
      </c>
    </row>
    <row r="8" spans="1:23" ht="18.75" x14ac:dyDescent="0.3">
      <c r="A8" s="4">
        <v>7</v>
      </c>
      <c r="B8" s="7" t="s">
        <v>32</v>
      </c>
      <c r="C8" s="7" t="s">
        <v>33</v>
      </c>
      <c r="D8" s="8">
        <v>21</v>
      </c>
      <c r="E8" s="7">
        <v>3</v>
      </c>
      <c r="F8" s="7"/>
      <c r="G8" s="7"/>
      <c r="H8" s="7">
        <v>2</v>
      </c>
      <c r="I8" s="7"/>
      <c r="J8" s="7"/>
      <c r="K8" s="7"/>
      <c r="L8" s="7"/>
      <c r="M8" s="7"/>
      <c r="N8" s="7"/>
      <c r="O8" s="7"/>
      <c r="P8" s="7">
        <v>5</v>
      </c>
      <c r="Q8" s="7">
        <v>4</v>
      </c>
      <c r="R8" s="7"/>
      <c r="S8" s="7"/>
      <c r="T8" s="7"/>
      <c r="U8" s="7"/>
      <c r="V8" s="7">
        <f t="shared" si="0"/>
        <v>14</v>
      </c>
      <c r="W8" s="7">
        <f t="shared" si="1"/>
        <v>7</v>
      </c>
    </row>
    <row r="9" spans="1:23" ht="18.75" x14ac:dyDescent="0.3">
      <c r="A9" s="4">
        <v>8</v>
      </c>
      <c r="B9" s="7" t="s">
        <v>34</v>
      </c>
      <c r="C9" s="7" t="s">
        <v>35</v>
      </c>
      <c r="D9" s="8">
        <v>2</v>
      </c>
      <c r="E9" s="7"/>
      <c r="F9" s="7"/>
      <c r="G9" s="7"/>
      <c r="H9" s="7">
        <v>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>
        <f t="shared" si="0"/>
        <v>1</v>
      </c>
      <c r="W9" s="7">
        <f t="shared" si="1"/>
        <v>1</v>
      </c>
    </row>
    <row r="10" spans="1:23" ht="18.75" x14ac:dyDescent="0.3">
      <c r="A10" s="4">
        <v>9</v>
      </c>
      <c r="B10" s="7" t="s">
        <v>36</v>
      </c>
      <c r="C10" s="7" t="s">
        <v>37</v>
      </c>
      <c r="D10" s="8">
        <v>2</v>
      </c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1</v>
      </c>
      <c r="V10" s="7">
        <f t="shared" si="0"/>
        <v>2</v>
      </c>
      <c r="W10" s="7">
        <f t="shared" si="1"/>
        <v>0</v>
      </c>
    </row>
    <row r="11" spans="1:23" ht="18.75" x14ac:dyDescent="0.3">
      <c r="A11" s="4">
        <v>10</v>
      </c>
      <c r="B11" s="7" t="s">
        <v>38</v>
      </c>
      <c r="C11" s="7" t="s">
        <v>39</v>
      </c>
      <c r="D11" s="8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/>
      <c r="T11" s="7"/>
      <c r="U11" s="7"/>
      <c r="V11" s="7">
        <f t="shared" si="0"/>
        <v>1</v>
      </c>
      <c r="W11" s="7">
        <f t="shared" si="1"/>
        <v>0</v>
      </c>
    </row>
    <row r="12" spans="1:23" ht="18.75" x14ac:dyDescent="0.3">
      <c r="A12" s="4">
        <v>11</v>
      </c>
      <c r="B12" s="7" t="s">
        <v>40</v>
      </c>
      <c r="C12" s="7" t="s">
        <v>41</v>
      </c>
      <c r="D12" s="8">
        <v>3</v>
      </c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>
        <f t="shared" si="0"/>
        <v>1</v>
      </c>
      <c r="W12" s="7">
        <f t="shared" si="1"/>
        <v>2</v>
      </c>
    </row>
    <row r="13" spans="1:23" ht="18.75" x14ac:dyDescent="0.3">
      <c r="A13" s="4">
        <v>12</v>
      </c>
      <c r="B13" s="7" t="s">
        <v>892</v>
      </c>
      <c r="C13" s="7" t="s">
        <v>894</v>
      </c>
      <c r="D13" s="8">
        <v>10</v>
      </c>
      <c r="E13" s="7"/>
      <c r="F13" s="7"/>
      <c r="G13" s="7"/>
      <c r="H13" s="7">
        <v>4</v>
      </c>
      <c r="I13" s="7"/>
      <c r="J13" s="7"/>
      <c r="K13" s="7">
        <v>1</v>
      </c>
      <c r="L13" s="7"/>
      <c r="M13" s="7"/>
      <c r="N13" s="7"/>
      <c r="O13" s="7"/>
      <c r="P13" s="7">
        <v>1</v>
      </c>
      <c r="Q13" s="7">
        <v>1</v>
      </c>
      <c r="R13" s="7"/>
      <c r="S13" s="7"/>
      <c r="T13" s="7">
        <v>1</v>
      </c>
      <c r="U13" s="7"/>
      <c r="V13" s="7">
        <f t="shared" si="0"/>
        <v>8</v>
      </c>
      <c r="W13" s="7">
        <f t="shared" si="1"/>
        <v>2</v>
      </c>
    </row>
    <row r="14" spans="1:23" ht="18.75" x14ac:dyDescent="0.3">
      <c r="A14" s="4">
        <v>13</v>
      </c>
      <c r="B14" s="7" t="s">
        <v>893</v>
      </c>
      <c r="C14" s="7" t="s">
        <v>895</v>
      </c>
      <c r="D14" s="8">
        <v>15</v>
      </c>
      <c r="E14" s="7"/>
      <c r="F14" s="7"/>
      <c r="G14" s="7"/>
      <c r="H14" s="7">
        <v>4</v>
      </c>
      <c r="I14" s="7"/>
      <c r="J14" s="7"/>
      <c r="K14" s="7">
        <v>1</v>
      </c>
      <c r="L14" s="7"/>
      <c r="M14" s="7"/>
      <c r="N14" s="7"/>
      <c r="O14" s="7"/>
      <c r="P14" s="7">
        <v>2</v>
      </c>
      <c r="Q14" s="7">
        <v>1</v>
      </c>
      <c r="R14" s="7"/>
      <c r="S14" s="7"/>
      <c r="T14" s="7"/>
      <c r="U14" s="7"/>
      <c r="V14" s="7">
        <f t="shared" si="0"/>
        <v>8</v>
      </c>
      <c r="W14" s="7">
        <f t="shared" si="1"/>
        <v>7</v>
      </c>
    </row>
    <row r="15" spans="1:23" ht="18.75" x14ac:dyDescent="0.3">
      <c r="A15" s="4">
        <v>14</v>
      </c>
      <c r="B15" s="7" t="s">
        <v>42</v>
      </c>
      <c r="C15" s="7" t="s">
        <v>43</v>
      </c>
      <c r="D15" s="8">
        <v>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1</v>
      </c>
      <c r="R15" s="7"/>
      <c r="S15" s="7"/>
      <c r="T15" s="7"/>
      <c r="U15" s="7"/>
      <c r="V15" s="7">
        <f t="shared" si="0"/>
        <v>1</v>
      </c>
      <c r="W15" s="7">
        <f t="shared" si="1"/>
        <v>0</v>
      </c>
    </row>
    <row r="16" spans="1:23" ht="18.75" x14ac:dyDescent="0.3">
      <c r="A16" s="4">
        <v>15</v>
      </c>
      <c r="B16" s="7" t="s">
        <v>44</v>
      </c>
      <c r="C16" s="7" t="s">
        <v>45</v>
      </c>
      <c r="D16" s="8">
        <v>1</v>
      </c>
      <c r="E16" s="7"/>
      <c r="F16" s="7"/>
      <c r="G16" s="7"/>
      <c r="H16" s="7"/>
      <c r="I16" s="7"/>
      <c r="J16" s="7"/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f t="shared" si="0"/>
        <v>1</v>
      </c>
      <c r="W16" s="7">
        <f t="shared" si="1"/>
        <v>0</v>
      </c>
    </row>
    <row r="17" spans="1:23" ht="18.75" x14ac:dyDescent="0.3">
      <c r="A17" s="4">
        <v>16</v>
      </c>
      <c r="B17" s="7" t="s">
        <v>46</v>
      </c>
      <c r="C17" s="7" t="s">
        <v>47</v>
      </c>
      <c r="D17" s="8">
        <v>1</v>
      </c>
      <c r="E17" s="7">
        <v>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f t="shared" si="0"/>
        <v>1</v>
      </c>
      <c r="W17" s="7">
        <f t="shared" si="1"/>
        <v>0</v>
      </c>
    </row>
    <row r="18" spans="1:23" ht="18.75" x14ac:dyDescent="0.3">
      <c r="A18" s="4">
        <v>17</v>
      </c>
      <c r="B18" s="7" t="s">
        <v>48</v>
      </c>
      <c r="C18" s="7" t="s">
        <v>49</v>
      </c>
      <c r="D18" s="8">
        <v>2</v>
      </c>
      <c r="E18" s="7">
        <v>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f t="shared" si="0"/>
        <v>1</v>
      </c>
      <c r="W18" s="7">
        <f t="shared" si="1"/>
        <v>1</v>
      </c>
    </row>
    <row r="19" spans="1:23" ht="18.75" x14ac:dyDescent="0.3">
      <c r="A19" s="4">
        <v>18</v>
      </c>
      <c r="B19" s="7" t="s">
        <v>50</v>
      </c>
      <c r="C19" s="7" t="s">
        <v>51</v>
      </c>
      <c r="D19" s="8">
        <v>4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1</v>
      </c>
      <c r="R19" s="7"/>
      <c r="S19" s="7"/>
      <c r="T19" s="7"/>
      <c r="U19" s="7"/>
      <c r="V19" s="7">
        <f t="shared" si="0"/>
        <v>1</v>
      </c>
      <c r="W19" s="7">
        <f t="shared" si="1"/>
        <v>3</v>
      </c>
    </row>
    <row r="20" spans="1:23" ht="18.75" x14ac:dyDescent="0.3">
      <c r="A20" s="4">
        <v>19</v>
      </c>
      <c r="B20" s="7" t="s">
        <v>52</v>
      </c>
      <c r="C20" s="7" t="s">
        <v>53</v>
      </c>
      <c r="D20" s="8">
        <v>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>
        <v>1</v>
      </c>
      <c r="V20" s="7">
        <f t="shared" si="0"/>
        <v>1</v>
      </c>
      <c r="W20" s="7">
        <f t="shared" si="1"/>
        <v>0</v>
      </c>
    </row>
    <row r="21" spans="1:23" ht="18.75" x14ac:dyDescent="0.3">
      <c r="A21" s="4">
        <v>20</v>
      </c>
      <c r="B21" s="7" t="s">
        <v>54</v>
      </c>
      <c r="C21" s="7" t="s">
        <v>55</v>
      </c>
      <c r="D21" s="8">
        <v>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>
        <v>1</v>
      </c>
      <c r="Q21" s="7"/>
      <c r="R21" s="7"/>
      <c r="S21" s="7"/>
      <c r="T21" s="7"/>
      <c r="U21" s="7"/>
      <c r="V21" s="7">
        <f t="shared" si="0"/>
        <v>1</v>
      </c>
      <c r="W21" s="7">
        <f t="shared" si="1"/>
        <v>0</v>
      </c>
    </row>
    <row r="22" spans="1:23" ht="18.75" x14ac:dyDescent="0.3">
      <c r="A22" s="4">
        <v>21</v>
      </c>
      <c r="B22" s="7" t="s">
        <v>56</v>
      </c>
      <c r="C22" s="7" t="s">
        <v>57</v>
      </c>
      <c r="D22" s="8">
        <v>1</v>
      </c>
      <c r="E22" s="7">
        <v>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>
        <f t="shared" si="0"/>
        <v>1</v>
      </c>
      <c r="W22" s="7">
        <f t="shared" si="1"/>
        <v>0</v>
      </c>
    </row>
    <row r="23" spans="1:23" ht="18.75" x14ac:dyDescent="0.3">
      <c r="A23" s="4">
        <v>22</v>
      </c>
      <c r="B23" s="7" t="s">
        <v>58</v>
      </c>
      <c r="C23" s="7" t="s">
        <v>59</v>
      </c>
      <c r="D23" s="8">
        <v>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>
        <v>1</v>
      </c>
      <c r="V23" s="7">
        <f t="shared" si="0"/>
        <v>1</v>
      </c>
      <c r="W23" s="7">
        <f t="shared" si="1"/>
        <v>0</v>
      </c>
    </row>
    <row r="24" spans="1:23" ht="18.75" x14ac:dyDescent="0.3">
      <c r="A24" s="4">
        <v>23</v>
      </c>
      <c r="B24" s="7" t="s">
        <v>60</v>
      </c>
      <c r="C24" s="7" t="s">
        <v>61</v>
      </c>
      <c r="D24" s="8">
        <v>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>
        <v>1</v>
      </c>
      <c r="V24" s="7">
        <f t="shared" si="0"/>
        <v>1</v>
      </c>
      <c r="W24" s="7">
        <f t="shared" si="1"/>
        <v>0</v>
      </c>
    </row>
    <row r="25" spans="1:23" ht="18.75" x14ac:dyDescent="0.3">
      <c r="A25" s="4">
        <v>24</v>
      </c>
      <c r="B25" s="7" t="s">
        <v>62</v>
      </c>
      <c r="C25" s="7" t="s">
        <v>63</v>
      </c>
      <c r="D25" s="8">
        <v>6</v>
      </c>
      <c r="E25" s="7">
        <v>2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>
        <v>3</v>
      </c>
      <c r="R25" s="7"/>
      <c r="S25" s="7"/>
      <c r="T25" s="7"/>
      <c r="U25" s="7"/>
      <c r="V25" s="7">
        <f t="shared" si="0"/>
        <v>5</v>
      </c>
      <c r="W25" s="7">
        <f t="shared" si="1"/>
        <v>1</v>
      </c>
    </row>
    <row r="26" spans="1:23" ht="18.75" x14ac:dyDescent="0.3">
      <c r="A26" s="4">
        <v>25</v>
      </c>
      <c r="B26" s="7" t="s">
        <v>64</v>
      </c>
      <c r="C26" s="7" t="s">
        <v>65</v>
      </c>
      <c r="D26" s="8">
        <v>4</v>
      </c>
      <c r="E26" s="7">
        <v>1</v>
      </c>
      <c r="F26" s="7"/>
      <c r="G26" s="7"/>
      <c r="H26" s="7">
        <v>1</v>
      </c>
      <c r="I26" s="7"/>
      <c r="J26" s="7"/>
      <c r="K26" s="7"/>
      <c r="L26" s="7"/>
      <c r="M26" s="7"/>
      <c r="N26" s="7"/>
      <c r="O26" s="7"/>
      <c r="P26" s="7">
        <v>1</v>
      </c>
      <c r="Q26" s="7">
        <v>1</v>
      </c>
      <c r="R26" s="7"/>
      <c r="S26" s="7"/>
      <c r="T26" s="7"/>
      <c r="U26" s="7"/>
      <c r="V26" s="7">
        <f t="shared" si="0"/>
        <v>4</v>
      </c>
      <c r="W26" s="7">
        <f t="shared" si="1"/>
        <v>0</v>
      </c>
    </row>
    <row r="27" spans="1:23" ht="18.75" x14ac:dyDescent="0.3">
      <c r="A27" s="4">
        <v>26</v>
      </c>
      <c r="B27" s="7" t="s">
        <v>66</v>
      </c>
      <c r="C27" s="7" t="s">
        <v>67</v>
      </c>
      <c r="D27" s="8">
        <v>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>
        <f t="shared" si="0"/>
        <v>0</v>
      </c>
      <c r="W27" s="7">
        <f t="shared" si="1"/>
        <v>1</v>
      </c>
    </row>
    <row r="28" spans="1:23" ht="18.75" x14ac:dyDescent="0.3">
      <c r="A28" s="4">
        <v>27</v>
      </c>
      <c r="B28" s="7" t="s">
        <v>68</v>
      </c>
      <c r="C28" s="7" t="s">
        <v>69</v>
      </c>
      <c r="D28" s="8">
        <v>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>
        <v>1</v>
      </c>
      <c r="R28" s="7"/>
      <c r="S28" s="7"/>
      <c r="T28" s="7">
        <v>1</v>
      </c>
      <c r="U28" s="7"/>
      <c r="V28" s="7">
        <f t="shared" si="0"/>
        <v>2</v>
      </c>
      <c r="W28" s="7">
        <f t="shared" si="1"/>
        <v>0</v>
      </c>
    </row>
    <row r="29" spans="1:23" ht="18.75" x14ac:dyDescent="0.3">
      <c r="A29" s="4">
        <v>28</v>
      </c>
      <c r="B29" s="7" t="s">
        <v>70</v>
      </c>
      <c r="C29" s="7" t="s">
        <v>71</v>
      </c>
      <c r="D29" s="8">
        <v>2</v>
      </c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>
        <v>1</v>
      </c>
      <c r="R29" s="7"/>
      <c r="S29" s="7"/>
      <c r="T29" s="7"/>
      <c r="U29" s="7"/>
      <c r="V29" s="7">
        <f t="shared" si="0"/>
        <v>2</v>
      </c>
      <c r="W29" s="7">
        <f t="shared" si="1"/>
        <v>0</v>
      </c>
    </row>
    <row r="30" spans="1:23" ht="18.75" x14ac:dyDescent="0.3">
      <c r="A30" s="4">
        <v>29</v>
      </c>
      <c r="B30" s="7" t="s">
        <v>72</v>
      </c>
      <c r="C30" s="7" t="s">
        <v>73</v>
      </c>
      <c r="D30" s="8">
        <v>1</v>
      </c>
      <c r="E30" s="7">
        <v>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>
        <f t="shared" si="0"/>
        <v>1</v>
      </c>
      <c r="W30" s="7">
        <f t="shared" si="1"/>
        <v>0</v>
      </c>
    </row>
    <row r="31" spans="1:23" ht="18.75" x14ac:dyDescent="0.3">
      <c r="A31" s="4">
        <v>30</v>
      </c>
      <c r="B31" s="7" t="s">
        <v>74</v>
      </c>
      <c r="C31" s="7" t="s">
        <v>75</v>
      </c>
      <c r="D31" s="8">
        <v>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1</v>
      </c>
      <c r="R31" s="7"/>
      <c r="S31" s="7"/>
      <c r="T31" s="7"/>
      <c r="U31" s="7"/>
      <c r="V31" s="7">
        <f t="shared" si="0"/>
        <v>1</v>
      </c>
      <c r="W31" s="7">
        <f t="shared" si="1"/>
        <v>1</v>
      </c>
    </row>
    <row r="32" spans="1:23" ht="18.75" x14ac:dyDescent="0.3">
      <c r="A32" s="4">
        <v>31</v>
      </c>
      <c r="B32" s="7" t="s">
        <v>76</v>
      </c>
      <c r="C32" s="7" t="s">
        <v>77</v>
      </c>
      <c r="D32" s="8">
        <v>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1</v>
      </c>
      <c r="Q32" s="7"/>
      <c r="R32" s="7"/>
      <c r="S32" s="7"/>
      <c r="T32" s="7"/>
      <c r="U32" s="7"/>
      <c r="V32" s="7">
        <f t="shared" si="0"/>
        <v>1</v>
      </c>
      <c r="W32" s="7">
        <f t="shared" si="1"/>
        <v>1</v>
      </c>
    </row>
    <row r="33" spans="1:23" ht="18.75" x14ac:dyDescent="0.3">
      <c r="A33" s="4">
        <v>32</v>
      </c>
      <c r="B33" s="7" t="s">
        <v>78</v>
      </c>
      <c r="C33" s="7" t="s">
        <v>79</v>
      </c>
      <c r="D33" s="8">
        <v>37</v>
      </c>
      <c r="E33" s="7">
        <v>1</v>
      </c>
      <c r="F33" s="7"/>
      <c r="G33" s="7"/>
      <c r="H33" s="7">
        <v>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>
        <f t="shared" si="0"/>
        <v>2</v>
      </c>
      <c r="W33" s="7">
        <f t="shared" si="1"/>
        <v>35</v>
      </c>
    </row>
    <row r="34" spans="1:23" ht="18.75" x14ac:dyDescent="0.3">
      <c r="A34" s="4">
        <v>33</v>
      </c>
      <c r="B34" s="7" t="s">
        <v>80</v>
      </c>
      <c r="C34" s="7" t="s">
        <v>81</v>
      </c>
      <c r="D34" s="8">
        <v>2</v>
      </c>
      <c r="E34" s="7"/>
      <c r="F34" s="7"/>
      <c r="G34" s="7"/>
      <c r="H34" s="7"/>
      <c r="I34" s="7"/>
      <c r="J34" s="7"/>
      <c r="K34" s="7">
        <v>1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>
        <f t="shared" si="0"/>
        <v>1</v>
      </c>
      <c r="W34" s="7">
        <f t="shared" si="1"/>
        <v>1</v>
      </c>
    </row>
    <row r="35" spans="1:23" ht="18.75" x14ac:dyDescent="0.3">
      <c r="A35" s="4">
        <v>34</v>
      </c>
      <c r="B35" s="7" t="s">
        <v>82</v>
      </c>
      <c r="C35" s="7" t="s">
        <v>81</v>
      </c>
      <c r="D35" s="8">
        <v>1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>
        <f t="shared" si="0"/>
        <v>0</v>
      </c>
      <c r="W35" s="7">
        <f t="shared" si="1"/>
        <v>1</v>
      </c>
    </row>
    <row r="36" spans="1:23" ht="18.75" x14ac:dyDescent="0.3">
      <c r="A36" s="4">
        <v>35</v>
      </c>
      <c r="B36" s="7" t="s">
        <v>83</v>
      </c>
      <c r="C36" s="7" t="s">
        <v>84</v>
      </c>
      <c r="D36" s="8">
        <v>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>
        <f t="shared" si="0"/>
        <v>0</v>
      </c>
      <c r="W36" s="7">
        <f t="shared" si="1"/>
        <v>1</v>
      </c>
    </row>
    <row r="37" spans="1:23" ht="18.75" x14ac:dyDescent="0.3">
      <c r="A37" s="4">
        <v>36</v>
      </c>
      <c r="B37" s="7" t="s">
        <v>85</v>
      </c>
      <c r="C37" s="7" t="s">
        <v>86</v>
      </c>
      <c r="D37" s="8">
        <v>1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>
        <f t="shared" si="0"/>
        <v>0</v>
      </c>
      <c r="W37" s="7">
        <f t="shared" si="1"/>
        <v>1</v>
      </c>
    </row>
    <row r="38" spans="1:23" ht="18.75" x14ac:dyDescent="0.3">
      <c r="A38" s="4">
        <v>37</v>
      </c>
      <c r="B38" s="7" t="s">
        <v>87</v>
      </c>
      <c r="C38" s="7" t="s">
        <v>88</v>
      </c>
      <c r="D38" s="8">
        <v>1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>
        <f t="shared" si="0"/>
        <v>0</v>
      </c>
      <c r="W38" s="7">
        <f t="shared" si="1"/>
        <v>1</v>
      </c>
    </row>
    <row r="39" spans="1:23" ht="18.75" x14ac:dyDescent="0.3">
      <c r="A39" s="4">
        <v>38</v>
      </c>
      <c r="B39" s="7" t="s">
        <v>89</v>
      </c>
      <c r="C39" s="7" t="s">
        <v>90</v>
      </c>
      <c r="D39" s="8">
        <v>1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>
        <v>1</v>
      </c>
      <c r="T39" s="7"/>
      <c r="U39" s="7"/>
      <c r="V39" s="7">
        <f t="shared" si="0"/>
        <v>1</v>
      </c>
      <c r="W39" s="7">
        <f t="shared" si="1"/>
        <v>0</v>
      </c>
    </row>
    <row r="40" spans="1:23" ht="18.75" x14ac:dyDescent="0.3">
      <c r="A40" s="4">
        <v>39</v>
      </c>
      <c r="B40" s="7" t="s">
        <v>91</v>
      </c>
      <c r="C40" s="7" t="s">
        <v>92</v>
      </c>
      <c r="D40" s="8">
        <v>1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>
        <v>1</v>
      </c>
      <c r="R40" s="7"/>
      <c r="S40" s="7"/>
      <c r="T40" s="7"/>
      <c r="U40" s="7"/>
      <c r="V40" s="7">
        <f t="shared" si="0"/>
        <v>1</v>
      </c>
      <c r="W40" s="7">
        <f t="shared" si="1"/>
        <v>0</v>
      </c>
    </row>
    <row r="41" spans="1:23" ht="18.75" x14ac:dyDescent="0.3">
      <c r="A41" s="4">
        <v>40</v>
      </c>
      <c r="B41" s="7" t="s">
        <v>93</v>
      </c>
      <c r="C41" s="7" t="s">
        <v>94</v>
      </c>
      <c r="D41" s="8">
        <v>22</v>
      </c>
      <c r="E41" s="7"/>
      <c r="F41" s="7"/>
      <c r="G41" s="7"/>
      <c r="H41" s="7">
        <v>3</v>
      </c>
      <c r="I41" s="7"/>
      <c r="J41" s="7"/>
      <c r="K41" s="7"/>
      <c r="L41" s="7"/>
      <c r="M41" s="7"/>
      <c r="N41" s="7"/>
      <c r="O41" s="7"/>
      <c r="P41" s="7">
        <v>3</v>
      </c>
      <c r="Q41" s="7">
        <v>4</v>
      </c>
      <c r="R41" s="7"/>
      <c r="S41" s="7"/>
      <c r="T41" s="7"/>
      <c r="U41" s="7"/>
      <c r="V41" s="7">
        <f t="shared" si="0"/>
        <v>10</v>
      </c>
      <c r="W41" s="7">
        <f t="shared" si="1"/>
        <v>12</v>
      </c>
    </row>
    <row r="42" spans="1:23" ht="18.75" x14ac:dyDescent="0.3">
      <c r="A42" s="4">
        <v>41</v>
      </c>
      <c r="B42" s="7" t="s">
        <v>95</v>
      </c>
      <c r="C42" s="7" t="s">
        <v>96</v>
      </c>
      <c r="D42" s="8">
        <v>2</v>
      </c>
      <c r="E42" s="7"/>
      <c r="F42" s="7"/>
      <c r="G42" s="7"/>
      <c r="H42" s="7">
        <v>2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>
        <f t="shared" si="0"/>
        <v>2</v>
      </c>
      <c r="W42" s="7">
        <f t="shared" si="1"/>
        <v>0</v>
      </c>
    </row>
    <row r="43" spans="1:23" ht="18.75" x14ac:dyDescent="0.3">
      <c r="A43" s="4">
        <v>42</v>
      </c>
      <c r="B43" s="7" t="s">
        <v>97</v>
      </c>
      <c r="C43" s="9" t="s">
        <v>98</v>
      </c>
      <c r="D43" s="8">
        <v>2</v>
      </c>
      <c r="E43" s="7">
        <v>1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1</v>
      </c>
      <c r="R43" s="7"/>
      <c r="S43" s="7"/>
      <c r="T43" s="7"/>
      <c r="U43" s="7"/>
      <c r="V43" s="7">
        <f t="shared" si="0"/>
        <v>2</v>
      </c>
      <c r="W43" s="7">
        <f t="shared" si="1"/>
        <v>0</v>
      </c>
    </row>
    <row r="44" spans="1:23" ht="18.75" x14ac:dyDescent="0.3">
      <c r="A44" s="4">
        <v>43</v>
      </c>
      <c r="B44" s="7" t="s">
        <v>99</v>
      </c>
      <c r="C44" s="9" t="s">
        <v>100</v>
      </c>
      <c r="D44" s="8">
        <v>2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>
        <v>1</v>
      </c>
      <c r="Q44" s="7"/>
      <c r="R44" s="7"/>
      <c r="S44" s="7"/>
      <c r="T44" s="7"/>
      <c r="U44" s="7"/>
      <c r="V44" s="7">
        <f t="shared" si="0"/>
        <v>1</v>
      </c>
      <c r="W44" s="7">
        <f t="shared" si="1"/>
        <v>1</v>
      </c>
    </row>
    <row r="45" spans="1:23" ht="18.75" x14ac:dyDescent="0.3">
      <c r="A45" s="4">
        <v>44</v>
      </c>
      <c r="B45" s="7" t="s">
        <v>101</v>
      </c>
      <c r="C45" s="9" t="s">
        <v>102</v>
      </c>
      <c r="D45" s="8">
        <v>4</v>
      </c>
      <c r="E45" s="7">
        <v>1</v>
      </c>
      <c r="F45" s="7"/>
      <c r="G45" s="7"/>
      <c r="H45" s="7">
        <v>1</v>
      </c>
      <c r="I45" s="7"/>
      <c r="J45" s="7"/>
      <c r="K45" s="7"/>
      <c r="L45" s="7"/>
      <c r="M45" s="7"/>
      <c r="N45" s="7"/>
      <c r="O45" s="7"/>
      <c r="P45" s="7">
        <v>1</v>
      </c>
      <c r="Q45" s="7">
        <v>1</v>
      </c>
      <c r="R45" s="7"/>
      <c r="S45" s="7"/>
      <c r="T45" s="7"/>
      <c r="U45" s="7"/>
      <c r="V45" s="7">
        <f t="shared" si="0"/>
        <v>4</v>
      </c>
      <c r="W45" s="7">
        <f t="shared" si="1"/>
        <v>0</v>
      </c>
    </row>
    <row r="46" spans="1:23" ht="18.75" x14ac:dyDescent="0.3">
      <c r="A46" s="4">
        <v>45</v>
      </c>
      <c r="B46" s="7" t="s">
        <v>103</v>
      </c>
      <c r="C46" s="9" t="s">
        <v>102</v>
      </c>
      <c r="D46" s="8">
        <v>4</v>
      </c>
      <c r="E46" s="7"/>
      <c r="F46" s="7"/>
      <c r="G46" s="7"/>
      <c r="H46" s="7">
        <v>1</v>
      </c>
      <c r="I46" s="7"/>
      <c r="J46" s="7"/>
      <c r="K46" s="7"/>
      <c r="L46" s="7"/>
      <c r="M46" s="7"/>
      <c r="N46" s="7"/>
      <c r="O46" s="7"/>
      <c r="P46" s="7">
        <v>2</v>
      </c>
      <c r="Q46" s="7">
        <v>1</v>
      </c>
      <c r="R46" s="7"/>
      <c r="S46" s="7"/>
      <c r="T46" s="7"/>
      <c r="U46" s="7"/>
      <c r="V46" s="7">
        <f t="shared" si="0"/>
        <v>4</v>
      </c>
      <c r="W46" s="7">
        <f t="shared" si="1"/>
        <v>0</v>
      </c>
    </row>
    <row r="47" spans="1:23" ht="18.75" x14ac:dyDescent="0.3">
      <c r="A47" s="4">
        <v>46</v>
      </c>
      <c r="B47" s="7" t="s">
        <v>104</v>
      </c>
      <c r="C47" s="9" t="s">
        <v>105</v>
      </c>
      <c r="D47" s="8">
        <v>4</v>
      </c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>
        <v>1</v>
      </c>
      <c r="S47" s="7"/>
      <c r="T47" s="7"/>
      <c r="U47" s="7">
        <v>1</v>
      </c>
      <c r="V47" s="7">
        <f t="shared" si="0"/>
        <v>3</v>
      </c>
      <c r="W47" s="7">
        <f t="shared" si="1"/>
        <v>1</v>
      </c>
    </row>
    <row r="48" spans="1:23" ht="18.75" x14ac:dyDescent="0.3">
      <c r="A48" s="4">
        <v>47</v>
      </c>
      <c r="B48" s="7" t="s">
        <v>106</v>
      </c>
      <c r="C48" s="9" t="s">
        <v>107</v>
      </c>
      <c r="D48" s="8">
        <v>2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1</v>
      </c>
      <c r="R48" s="7"/>
      <c r="S48" s="7"/>
      <c r="T48" s="7"/>
      <c r="U48" s="7">
        <v>1</v>
      </c>
      <c r="V48" s="7">
        <f t="shared" si="0"/>
        <v>2</v>
      </c>
      <c r="W48" s="7">
        <f t="shared" si="1"/>
        <v>0</v>
      </c>
    </row>
    <row r="49" spans="1:23" ht="18.75" x14ac:dyDescent="0.3">
      <c r="A49" s="4">
        <v>48</v>
      </c>
      <c r="B49" s="7" t="s">
        <v>108</v>
      </c>
      <c r="C49" s="9" t="s">
        <v>109</v>
      </c>
      <c r="D49" s="8">
        <v>6</v>
      </c>
      <c r="E49" s="7"/>
      <c r="F49" s="7"/>
      <c r="G49" s="7"/>
      <c r="H49" s="7">
        <v>2</v>
      </c>
      <c r="I49" s="7"/>
      <c r="J49" s="7"/>
      <c r="K49" s="7"/>
      <c r="L49" s="7"/>
      <c r="M49" s="7"/>
      <c r="N49" s="7"/>
      <c r="O49" s="7"/>
      <c r="P49" s="7">
        <v>3</v>
      </c>
      <c r="Q49" s="7">
        <v>1</v>
      </c>
      <c r="R49" s="7"/>
      <c r="S49" s="7"/>
      <c r="T49" s="7"/>
      <c r="U49" s="7"/>
      <c r="V49" s="7">
        <f t="shared" si="0"/>
        <v>6</v>
      </c>
      <c r="W49" s="7">
        <f t="shared" si="1"/>
        <v>0</v>
      </c>
    </row>
    <row r="50" spans="1:23" ht="18.75" x14ac:dyDescent="0.3">
      <c r="A50" s="4">
        <v>49</v>
      </c>
      <c r="B50" s="7" t="s">
        <v>110</v>
      </c>
      <c r="C50" s="9" t="s">
        <v>102</v>
      </c>
      <c r="D50" s="8">
        <v>6</v>
      </c>
      <c r="E50" s="7">
        <v>1</v>
      </c>
      <c r="F50" s="7"/>
      <c r="G50" s="7"/>
      <c r="H50" s="7">
        <v>2</v>
      </c>
      <c r="I50" s="7"/>
      <c r="J50" s="7"/>
      <c r="K50" s="7"/>
      <c r="L50" s="7"/>
      <c r="M50" s="7"/>
      <c r="N50" s="7"/>
      <c r="O50" s="7"/>
      <c r="P50" s="7">
        <v>1</v>
      </c>
      <c r="Q50" s="7">
        <v>1</v>
      </c>
      <c r="R50" s="7"/>
      <c r="S50" s="7"/>
      <c r="T50" s="7"/>
      <c r="U50" s="7">
        <v>1</v>
      </c>
      <c r="V50" s="7">
        <f t="shared" si="0"/>
        <v>6</v>
      </c>
      <c r="W50" s="7">
        <f t="shared" si="1"/>
        <v>0</v>
      </c>
    </row>
    <row r="51" spans="1:23" ht="18.75" x14ac:dyDescent="0.3">
      <c r="A51" s="4">
        <v>50</v>
      </c>
      <c r="B51" s="7" t="s">
        <v>111</v>
      </c>
      <c r="C51" s="9" t="s">
        <v>102</v>
      </c>
      <c r="D51" s="8">
        <v>6</v>
      </c>
      <c r="E51" s="7">
        <v>1</v>
      </c>
      <c r="F51" s="7"/>
      <c r="G51" s="7"/>
      <c r="H51" s="7">
        <v>2</v>
      </c>
      <c r="I51" s="7"/>
      <c r="J51" s="7"/>
      <c r="K51" s="7"/>
      <c r="L51" s="7"/>
      <c r="M51" s="7"/>
      <c r="N51" s="7"/>
      <c r="O51" s="7"/>
      <c r="P51" s="7">
        <v>1</v>
      </c>
      <c r="Q51" s="7">
        <v>1</v>
      </c>
      <c r="R51" s="7"/>
      <c r="S51" s="7"/>
      <c r="T51" s="7"/>
      <c r="U51" s="7"/>
      <c r="V51" s="7">
        <f t="shared" si="0"/>
        <v>5</v>
      </c>
      <c r="W51" s="7">
        <f t="shared" si="1"/>
        <v>1</v>
      </c>
    </row>
    <row r="52" spans="1:23" ht="18.75" x14ac:dyDescent="0.3">
      <c r="A52" s="4">
        <v>51</v>
      </c>
      <c r="B52" s="7" t="s">
        <v>112</v>
      </c>
      <c r="C52" s="9" t="s">
        <v>113</v>
      </c>
      <c r="D52" s="8">
        <v>2</v>
      </c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>
        <v>1</v>
      </c>
      <c r="Q52" s="7"/>
      <c r="R52" s="7"/>
      <c r="S52" s="7"/>
      <c r="T52" s="7"/>
      <c r="U52" s="7"/>
      <c r="V52" s="7">
        <f t="shared" si="0"/>
        <v>2</v>
      </c>
      <c r="W52" s="7">
        <f t="shared" si="1"/>
        <v>0</v>
      </c>
    </row>
    <row r="53" spans="1:23" ht="18.75" x14ac:dyDescent="0.3">
      <c r="A53" s="4">
        <v>52</v>
      </c>
      <c r="B53" s="7" t="s">
        <v>114</v>
      </c>
      <c r="C53" s="9" t="s">
        <v>115</v>
      </c>
      <c r="D53" s="8">
        <v>1</v>
      </c>
      <c r="E53" s="7"/>
      <c r="F53" s="7"/>
      <c r="G53" s="7"/>
      <c r="H53" s="7"/>
      <c r="I53" s="7"/>
      <c r="J53" s="7"/>
      <c r="K53" s="7">
        <v>1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>
        <f t="shared" si="0"/>
        <v>1</v>
      </c>
      <c r="W53" s="7">
        <f t="shared" si="1"/>
        <v>0</v>
      </c>
    </row>
    <row r="54" spans="1:23" ht="18.75" x14ac:dyDescent="0.3">
      <c r="A54" s="4">
        <v>53</v>
      </c>
      <c r="B54" s="7" t="s">
        <v>116</v>
      </c>
      <c r="C54" s="9" t="s">
        <v>117</v>
      </c>
      <c r="D54" s="8">
        <v>3</v>
      </c>
      <c r="E54" s="7"/>
      <c r="F54" s="7"/>
      <c r="G54" s="7"/>
      <c r="H54" s="7"/>
      <c r="I54" s="7"/>
      <c r="J54" s="7"/>
      <c r="K54" s="7">
        <v>2</v>
      </c>
      <c r="L54" s="7"/>
      <c r="M54" s="7"/>
      <c r="N54" s="7"/>
      <c r="O54" s="7"/>
      <c r="P54" s="7">
        <v>1</v>
      </c>
      <c r="Q54" s="7"/>
      <c r="R54" s="7"/>
      <c r="S54" s="7"/>
      <c r="T54" s="7"/>
      <c r="U54" s="7"/>
      <c r="V54" s="7">
        <f t="shared" si="0"/>
        <v>3</v>
      </c>
      <c r="W54" s="7">
        <f t="shared" si="1"/>
        <v>0</v>
      </c>
    </row>
    <row r="55" spans="1:23" ht="18.75" x14ac:dyDescent="0.3">
      <c r="A55" s="4">
        <v>54</v>
      </c>
      <c r="B55" s="7" t="s">
        <v>118</v>
      </c>
      <c r="C55" s="9" t="s">
        <v>119</v>
      </c>
      <c r="D55" s="8">
        <v>56</v>
      </c>
      <c r="E55" s="7"/>
      <c r="F55" s="7"/>
      <c r="G55" s="7"/>
      <c r="H55" s="7">
        <v>5</v>
      </c>
      <c r="I55" s="7"/>
      <c r="J55" s="7"/>
      <c r="K55" s="7"/>
      <c r="L55" s="7"/>
      <c r="M55" s="7"/>
      <c r="N55" s="7"/>
      <c r="O55" s="7"/>
      <c r="P55" s="7">
        <v>6</v>
      </c>
      <c r="Q55" s="7">
        <v>5</v>
      </c>
      <c r="R55" s="7"/>
      <c r="S55" s="7"/>
      <c r="T55" s="7"/>
      <c r="U55" s="7"/>
      <c r="V55" s="7">
        <f t="shared" si="0"/>
        <v>16</v>
      </c>
      <c r="W55" s="7">
        <f t="shared" si="1"/>
        <v>40</v>
      </c>
    </row>
    <row r="56" spans="1:23" ht="18.75" x14ac:dyDescent="0.3">
      <c r="A56" s="4">
        <v>55</v>
      </c>
      <c r="B56" s="7" t="s">
        <v>120</v>
      </c>
      <c r="C56" s="9" t="s">
        <v>121</v>
      </c>
      <c r="D56" s="8">
        <v>29</v>
      </c>
      <c r="E56" s="7"/>
      <c r="F56" s="7"/>
      <c r="G56" s="7"/>
      <c r="H56" s="7">
        <v>5</v>
      </c>
      <c r="I56" s="7"/>
      <c r="J56" s="7"/>
      <c r="K56" s="7"/>
      <c r="L56" s="7"/>
      <c r="M56" s="7"/>
      <c r="N56" s="7"/>
      <c r="O56" s="7"/>
      <c r="P56" s="7">
        <v>2</v>
      </c>
      <c r="Q56" s="7">
        <v>2</v>
      </c>
      <c r="R56" s="7"/>
      <c r="S56" s="7"/>
      <c r="T56" s="7"/>
      <c r="U56" s="7"/>
      <c r="V56" s="7">
        <f t="shared" si="0"/>
        <v>9</v>
      </c>
      <c r="W56" s="7">
        <f t="shared" si="1"/>
        <v>20</v>
      </c>
    </row>
    <row r="57" spans="1:23" ht="18.75" x14ac:dyDescent="0.3">
      <c r="A57" s="4">
        <v>56</v>
      </c>
      <c r="B57" s="7" t="s">
        <v>122</v>
      </c>
      <c r="C57" s="9" t="s">
        <v>123</v>
      </c>
      <c r="D57" s="8">
        <v>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v>1</v>
      </c>
      <c r="R57" s="7"/>
      <c r="S57" s="7"/>
      <c r="T57" s="7"/>
      <c r="U57" s="7"/>
      <c r="V57" s="7">
        <f t="shared" si="0"/>
        <v>1</v>
      </c>
      <c r="W57" s="7">
        <f t="shared" si="1"/>
        <v>8</v>
      </c>
    </row>
    <row r="58" spans="1:23" ht="18.75" x14ac:dyDescent="0.3">
      <c r="A58" s="4">
        <v>57</v>
      </c>
      <c r="B58" s="7" t="s">
        <v>124</v>
      </c>
      <c r="C58" s="9" t="s">
        <v>125</v>
      </c>
      <c r="D58" s="8">
        <v>2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>
        <v>2</v>
      </c>
      <c r="R58" s="7"/>
      <c r="S58" s="7"/>
      <c r="T58" s="7"/>
      <c r="U58" s="7"/>
      <c r="V58" s="7">
        <f t="shared" si="0"/>
        <v>2</v>
      </c>
      <c r="W58" s="7">
        <f t="shared" si="1"/>
        <v>0</v>
      </c>
    </row>
    <row r="59" spans="1:23" ht="18.75" x14ac:dyDescent="0.3">
      <c r="A59" s="4">
        <v>58</v>
      </c>
      <c r="B59" s="7" t="s">
        <v>126</v>
      </c>
      <c r="C59" s="9" t="s">
        <v>127</v>
      </c>
      <c r="D59" s="8">
        <v>24</v>
      </c>
      <c r="E59" s="7"/>
      <c r="F59" s="7"/>
      <c r="G59" s="7">
        <v>5</v>
      </c>
      <c r="H59" s="7">
        <v>4</v>
      </c>
      <c r="I59" s="7">
        <v>2</v>
      </c>
      <c r="J59" s="7"/>
      <c r="K59" s="7">
        <v>4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>
        <f t="shared" si="0"/>
        <v>15</v>
      </c>
      <c r="W59" s="7">
        <f t="shared" si="1"/>
        <v>9</v>
      </c>
    </row>
    <row r="60" spans="1:23" ht="18.75" x14ac:dyDescent="0.3">
      <c r="A60" s="4">
        <v>59</v>
      </c>
      <c r="B60" s="7" t="s">
        <v>128</v>
      </c>
      <c r="C60" s="9" t="s">
        <v>129</v>
      </c>
      <c r="D60" s="8">
        <v>42</v>
      </c>
      <c r="E60" s="7">
        <v>3</v>
      </c>
      <c r="F60" s="7">
        <v>4</v>
      </c>
      <c r="G60" s="7"/>
      <c r="H60" s="7"/>
      <c r="I60" s="7"/>
      <c r="J60" s="7"/>
      <c r="K60" s="7"/>
      <c r="L60" s="7">
        <v>4</v>
      </c>
      <c r="M60" s="7"/>
      <c r="N60" s="7"/>
      <c r="O60" s="7"/>
      <c r="P60" s="7">
        <v>5</v>
      </c>
      <c r="Q60" s="7">
        <v>5</v>
      </c>
      <c r="R60" s="7"/>
      <c r="S60" s="7"/>
      <c r="T60" s="7"/>
      <c r="U60" s="7"/>
      <c r="V60" s="7">
        <f t="shared" si="0"/>
        <v>21</v>
      </c>
      <c r="W60" s="7">
        <f t="shared" si="1"/>
        <v>21</v>
      </c>
    </row>
    <row r="61" spans="1:23" ht="18.75" x14ac:dyDescent="0.3">
      <c r="A61" s="4">
        <v>60</v>
      </c>
      <c r="B61" s="7" t="s">
        <v>130</v>
      </c>
      <c r="C61" s="9" t="s">
        <v>131</v>
      </c>
      <c r="D61" s="8">
        <v>17</v>
      </c>
      <c r="E61" s="7"/>
      <c r="F61" s="7"/>
      <c r="G61" s="7"/>
      <c r="H61" s="7"/>
      <c r="I61" s="7"/>
      <c r="J61" s="7"/>
      <c r="K61" s="7">
        <v>4</v>
      </c>
      <c r="L61" s="7"/>
      <c r="M61" s="7"/>
      <c r="N61" s="7"/>
      <c r="O61" s="7"/>
      <c r="P61" s="7">
        <v>2</v>
      </c>
      <c r="Q61" s="7"/>
      <c r="R61" s="7"/>
      <c r="S61" s="7"/>
      <c r="T61" s="7"/>
      <c r="U61" s="7"/>
      <c r="V61" s="7">
        <f t="shared" si="0"/>
        <v>6</v>
      </c>
      <c r="W61" s="7">
        <f t="shared" si="1"/>
        <v>11</v>
      </c>
    </row>
    <row r="62" spans="1:23" ht="18.75" x14ac:dyDescent="0.3">
      <c r="A62" s="4">
        <v>61</v>
      </c>
      <c r="B62" s="7" t="s">
        <v>132</v>
      </c>
      <c r="C62" s="9" t="s">
        <v>133</v>
      </c>
      <c r="D62" s="8">
        <v>63</v>
      </c>
      <c r="E62" s="7">
        <v>4</v>
      </c>
      <c r="F62" s="7"/>
      <c r="G62" s="7"/>
      <c r="H62" s="7">
        <v>2</v>
      </c>
      <c r="I62" s="7"/>
      <c r="J62" s="7"/>
      <c r="K62" s="7">
        <v>5</v>
      </c>
      <c r="L62" s="7"/>
      <c r="M62" s="7"/>
      <c r="N62" s="7"/>
      <c r="O62" s="7"/>
      <c r="P62" s="7">
        <v>5</v>
      </c>
      <c r="Q62" s="7"/>
      <c r="R62" s="7"/>
      <c r="S62" s="7">
        <v>1</v>
      </c>
      <c r="T62" s="7">
        <v>1</v>
      </c>
      <c r="U62" s="7">
        <v>2</v>
      </c>
      <c r="V62" s="7">
        <f t="shared" si="0"/>
        <v>20</v>
      </c>
      <c r="W62" s="7">
        <f t="shared" si="1"/>
        <v>43</v>
      </c>
    </row>
    <row r="63" spans="1:23" ht="18.75" x14ac:dyDescent="0.3">
      <c r="A63" s="4">
        <v>62</v>
      </c>
      <c r="B63" s="7" t="s">
        <v>134</v>
      </c>
      <c r="C63" s="9" t="s">
        <v>135</v>
      </c>
      <c r="D63" s="8">
        <v>1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>
        <f t="shared" si="0"/>
        <v>0</v>
      </c>
      <c r="W63" s="7">
        <f t="shared" si="1"/>
        <v>1</v>
      </c>
    </row>
    <row r="64" spans="1:23" ht="18.75" x14ac:dyDescent="0.3">
      <c r="A64" s="4">
        <v>63</v>
      </c>
      <c r="B64" s="7" t="s">
        <v>136</v>
      </c>
      <c r="C64" s="9" t="s">
        <v>137</v>
      </c>
      <c r="D64" s="8">
        <v>2</v>
      </c>
      <c r="E64" s="7"/>
      <c r="F64" s="7"/>
      <c r="G64" s="7"/>
      <c r="H64" s="7"/>
      <c r="I64" s="7"/>
      <c r="J64" s="7"/>
      <c r="K64" s="7">
        <v>1</v>
      </c>
      <c r="L64" s="7"/>
      <c r="M64" s="7"/>
      <c r="N64" s="7"/>
      <c r="O64" s="7"/>
      <c r="P64" s="7"/>
      <c r="Q64" s="7">
        <v>1</v>
      </c>
      <c r="R64" s="7"/>
      <c r="S64" s="7"/>
      <c r="T64" s="7"/>
      <c r="U64" s="7"/>
      <c r="V64" s="7">
        <f t="shared" si="0"/>
        <v>2</v>
      </c>
      <c r="W64" s="7">
        <f t="shared" si="1"/>
        <v>0</v>
      </c>
    </row>
    <row r="65" spans="1:23" ht="18.75" x14ac:dyDescent="0.3">
      <c r="A65" s="4">
        <v>64</v>
      </c>
      <c r="B65" s="7" t="s">
        <v>138</v>
      </c>
      <c r="C65" s="9" t="s">
        <v>139</v>
      </c>
      <c r="D65" s="8">
        <v>2</v>
      </c>
      <c r="E65" s="7">
        <v>1</v>
      </c>
      <c r="F65" s="7"/>
      <c r="G65" s="7"/>
      <c r="H65" s="7"/>
      <c r="I65" s="7"/>
      <c r="J65" s="7"/>
      <c r="K65" s="7">
        <v>1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>
        <f t="shared" si="0"/>
        <v>2</v>
      </c>
      <c r="W65" s="7">
        <f t="shared" si="1"/>
        <v>0</v>
      </c>
    </row>
    <row r="66" spans="1:23" ht="18.75" x14ac:dyDescent="0.3">
      <c r="A66" s="4">
        <v>65</v>
      </c>
      <c r="B66" s="7" t="s">
        <v>140</v>
      </c>
      <c r="C66" s="9" t="s">
        <v>141</v>
      </c>
      <c r="D66" s="8">
        <v>2</v>
      </c>
      <c r="E66" s="7">
        <v>1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1</v>
      </c>
      <c r="R66" s="7"/>
      <c r="S66" s="7"/>
      <c r="T66" s="7"/>
      <c r="U66" s="7"/>
      <c r="V66" s="7">
        <f t="shared" si="0"/>
        <v>2</v>
      </c>
      <c r="W66" s="7">
        <f t="shared" si="1"/>
        <v>0</v>
      </c>
    </row>
    <row r="67" spans="1:23" ht="18.75" x14ac:dyDescent="0.3">
      <c r="A67" s="4">
        <v>66</v>
      </c>
      <c r="B67" s="7" t="s">
        <v>142</v>
      </c>
      <c r="C67" s="9" t="s">
        <v>141</v>
      </c>
      <c r="D67" s="8">
        <v>2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>
        <f t="shared" ref="V67:V130" si="2">SUM(E67:U67)</f>
        <v>0</v>
      </c>
      <c r="W67" s="7">
        <f t="shared" ref="W67:W130" si="3">D67-V67</f>
        <v>2</v>
      </c>
    </row>
    <row r="68" spans="1:23" ht="18.75" x14ac:dyDescent="0.3">
      <c r="A68" s="4">
        <v>67</v>
      </c>
      <c r="B68" s="7" t="s">
        <v>143</v>
      </c>
      <c r="C68" s="9" t="s">
        <v>144</v>
      </c>
      <c r="D68" s="8">
        <v>2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>
        <f t="shared" si="2"/>
        <v>0</v>
      </c>
      <c r="W68" s="7">
        <f t="shared" si="3"/>
        <v>2</v>
      </c>
    </row>
    <row r="69" spans="1:23" ht="18.75" x14ac:dyDescent="0.3">
      <c r="A69" s="4">
        <v>68</v>
      </c>
      <c r="B69" s="7" t="s">
        <v>145</v>
      </c>
      <c r="C69" s="9" t="s">
        <v>146</v>
      </c>
      <c r="D69" s="8">
        <v>4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>
        <v>1</v>
      </c>
      <c r="Q69" s="7"/>
      <c r="R69" s="7"/>
      <c r="S69" s="7"/>
      <c r="T69" s="7"/>
      <c r="U69" s="7"/>
      <c r="V69" s="7">
        <f t="shared" si="2"/>
        <v>1</v>
      </c>
      <c r="W69" s="7">
        <f t="shared" si="3"/>
        <v>3</v>
      </c>
    </row>
    <row r="70" spans="1:23" ht="18.75" x14ac:dyDescent="0.3">
      <c r="A70" s="4">
        <v>69</v>
      </c>
      <c r="B70" s="7" t="s">
        <v>147</v>
      </c>
      <c r="C70" s="9" t="s">
        <v>148</v>
      </c>
      <c r="D70" s="8">
        <v>4</v>
      </c>
      <c r="E70" s="7"/>
      <c r="F70" s="7"/>
      <c r="G70" s="7"/>
      <c r="H70" s="7">
        <v>1</v>
      </c>
      <c r="I70" s="7"/>
      <c r="J70" s="7"/>
      <c r="K70" s="7">
        <v>2</v>
      </c>
      <c r="L70" s="7"/>
      <c r="M70" s="7"/>
      <c r="N70" s="7"/>
      <c r="O70" s="7"/>
      <c r="P70" s="7">
        <v>1</v>
      </c>
      <c r="Q70" s="7"/>
      <c r="R70" s="7"/>
      <c r="S70" s="7"/>
      <c r="T70" s="7"/>
      <c r="U70" s="7"/>
      <c r="V70" s="7">
        <f t="shared" si="2"/>
        <v>4</v>
      </c>
      <c r="W70" s="7">
        <f t="shared" si="3"/>
        <v>0</v>
      </c>
    </row>
    <row r="71" spans="1:23" ht="18.75" x14ac:dyDescent="0.3">
      <c r="A71" s="4">
        <v>70</v>
      </c>
      <c r="B71" s="7" t="s">
        <v>149</v>
      </c>
      <c r="C71" s="9" t="s">
        <v>150</v>
      </c>
      <c r="D71" s="8">
        <v>16</v>
      </c>
      <c r="E71" s="7"/>
      <c r="F71" s="7">
        <v>1</v>
      </c>
      <c r="G71" s="7">
        <v>1</v>
      </c>
      <c r="H71" s="7">
        <v>3</v>
      </c>
      <c r="I71" s="7"/>
      <c r="J71" s="7"/>
      <c r="K71" s="7">
        <v>3</v>
      </c>
      <c r="L71" s="7"/>
      <c r="M71" s="7">
        <v>2</v>
      </c>
      <c r="N71" s="7"/>
      <c r="O71" s="7"/>
      <c r="P71" s="7">
        <v>2</v>
      </c>
      <c r="Q71" s="7">
        <v>3</v>
      </c>
      <c r="R71" s="7"/>
      <c r="S71" s="7"/>
      <c r="T71" s="7"/>
      <c r="U71" s="7"/>
      <c r="V71" s="7">
        <f t="shared" si="2"/>
        <v>15</v>
      </c>
      <c r="W71" s="7">
        <f t="shared" si="3"/>
        <v>1</v>
      </c>
    </row>
    <row r="72" spans="1:23" ht="18.75" x14ac:dyDescent="0.3">
      <c r="A72" s="4">
        <v>71</v>
      </c>
      <c r="B72" s="7" t="s">
        <v>151</v>
      </c>
      <c r="C72" s="9" t="s">
        <v>152</v>
      </c>
      <c r="D72" s="8">
        <v>13</v>
      </c>
      <c r="E72" s="7">
        <v>1</v>
      </c>
      <c r="F72" s="7"/>
      <c r="G72" s="7"/>
      <c r="H72" s="7">
        <v>3</v>
      </c>
      <c r="I72" s="7"/>
      <c r="J72" s="7"/>
      <c r="K72" s="7">
        <v>2</v>
      </c>
      <c r="L72" s="7"/>
      <c r="M72" s="7">
        <v>2</v>
      </c>
      <c r="N72" s="7"/>
      <c r="O72" s="7"/>
      <c r="P72" s="7">
        <v>2</v>
      </c>
      <c r="Q72" s="7">
        <v>3</v>
      </c>
      <c r="R72" s="7"/>
      <c r="S72" s="7"/>
      <c r="T72" s="7"/>
      <c r="U72" s="7"/>
      <c r="V72" s="7">
        <f t="shared" si="2"/>
        <v>13</v>
      </c>
      <c r="W72" s="7">
        <f t="shared" si="3"/>
        <v>0</v>
      </c>
    </row>
    <row r="73" spans="1:23" ht="18.75" x14ac:dyDescent="0.3">
      <c r="A73" s="4">
        <v>72</v>
      </c>
      <c r="B73" s="7" t="s">
        <v>153</v>
      </c>
      <c r="C73" s="9" t="s">
        <v>152</v>
      </c>
      <c r="D73" s="8">
        <v>14</v>
      </c>
      <c r="E73" s="7">
        <v>1</v>
      </c>
      <c r="F73" s="7">
        <v>1</v>
      </c>
      <c r="G73" s="7"/>
      <c r="H73" s="7">
        <v>3</v>
      </c>
      <c r="I73" s="7"/>
      <c r="J73" s="7"/>
      <c r="K73" s="7">
        <v>2</v>
      </c>
      <c r="L73" s="7"/>
      <c r="M73" s="7"/>
      <c r="N73" s="7"/>
      <c r="O73" s="7"/>
      <c r="P73" s="7">
        <v>3</v>
      </c>
      <c r="Q73" s="7">
        <v>3</v>
      </c>
      <c r="R73" s="7"/>
      <c r="S73" s="7"/>
      <c r="T73" s="7"/>
      <c r="U73" s="7"/>
      <c r="V73" s="7">
        <f t="shared" si="2"/>
        <v>13</v>
      </c>
      <c r="W73" s="7">
        <f t="shared" si="3"/>
        <v>1</v>
      </c>
    </row>
    <row r="74" spans="1:23" ht="18.75" x14ac:dyDescent="0.3">
      <c r="A74" s="4">
        <v>73</v>
      </c>
      <c r="B74" s="7" t="s">
        <v>154</v>
      </c>
      <c r="C74" s="9" t="s">
        <v>155</v>
      </c>
      <c r="D74" s="8">
        <v>2</v>
      </c>
      <c r="E74" s="7">
        <v>1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>
        <f t="shared" si="2"/>
        <v>1</v>
      </c>
      <c r="W74" s="7">
        <f t="shared" si="3"/>
        <v>1</v>
      </c>
    </row>
    <row r="75" spans="1:23" ht="18.75" x14ac:dyDescent="0.3">
      <c r="A75" s="4">
        <v>74</v>
      </c>
      <c r="B75" s="7" t="s">
        <v>156</v>
      </c>
      <c r="C75" s="9" t="s">
        <v>157</v>
      </c>
      <c r="D75" s="8">
        <v>1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f t="shared" si="2"/>
        <v>0</v>
      </c>
      <c r="W75" s="7">
        <f t="shared" si="3"/>
        <v>1</v>
      </c>
    </row>
    <row r="76" spans="1:23" ht="18.75" x14ac:dyDescent="0.3">
      <c r="A76" s="4">
        <v>75</v>
      </c>
      <c r="B76" s="7" t="s">
        <v>158</v>
      </c>
      <c r="C76" s="9" t="s">
        <v>159</v>
      </c>
      <c r="D76" s="8">
        <v>1</v>
      </c>
      <c r="E76" s="7"/>
      <c r="F76" s="7"/>
      <c r="G76" s="7"/>
      <c r="H76" s="7"/>
      <c r="I76" s="7"/>
      <c r="J76" s="7"/>
      <c r="K76" s="7">
        <v>1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>
        <f t="shared" si="2"/>
        <v>1</v>
      </c>
      <c r="W76" s="7">
        <f t="shared" si="3"/>
        <v>0</v>
      </c>
    </row>
    <row r="77" spans="1:23" ht="18.75" x14ac:dyDescent="0.3">
      <c r="A77" s="4">
        <v>76</v>
      </c>
      <c r="B77" s="7" t="s">
        <v>160</v>
      </c>
      <c r="C77" s="9" t="s">
        <v>161</v>
      </c>
      <c r="D77" s="8">
        <v>1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>
        <f t="shared" si="2"/>
        <v>0</v>
      </c>
      <c r="W77" s="7">
        <f t="shared" si="3"/>
        <v>1</v>
      </c>
    </row>
    <row r="78" spans="1:23" ht="18.75" x14ac:dyDescent="0.3">
      <c r="A78" s="4">
        <v>77</v>
      </c>
      <c r="B78" s="7" t="s">
        <v>162</v>
      </c>
      <c r="C78" s="9" t="s">
        <v>163</v>
      </c>
      <c r="D78" s="8">
        <v>1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>
        <f t="shared" si="2"/>
        <v>0</v>
      </c>
      <c r="W78" s="7">
        <f t="shared" si="3"/>
        <v>1</v>
      </c>
    </row>
    <row r="79" spans="1:23" ht="18.75" x14ac:dyDescent="0.3">
      <c r="A79" s="4">
        <v>78</v>
      </c>
      <c r="B79" s="7" t="s">
        <v>164</v>
      </c>
      <c r="C79" s="9" t="s">
        <v>163</v>
      </c>
      <c r="D79" s="8">
        <v>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>
        <f t="shared" si="2"/>
        <v>0</v>
      </c>
      <c r="W79" s="7">
        <f t="shared" si="3"/>
        <v>1</v>
      </c>
    </row>
    <row r="80" spans="1:23" ht="18.75" x14ac:dyDescent="0.3">
      <c r="A80" s="4">
        <v>79</v>
      </c>
      <c r="B80" s="7" t="s">
        <v>165</v>
      </c>
      <c r="C80" s="9" t="s">
        <v>166</v>
      </c>
      <c r="D80" s="8">
        <v>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>
        <v>1</v>
      </c>
      <c r="R80" s="7"/>
      <c r="S80" s="7"/>
      <c r="T80" s="7"/>
      <c r="U80" s="7"/>
      <c r="V80" s="7">
        <f t="shared" si="2"/>
        <v>1</v>
      </c>
      <c r="W80" s="7">
        <f t="shared" si="3"/>
        <v>1</v>
      </c>
    </row>
    <row r="81" spans="1:23" ht="18.75" x14ac:dyDescent="0.3">
      <c r="A81" s="4">
        <v>80</v>
      </c>
      <c r="B81" s="7" t="s">
        <v>167</v>
      </c>
      <c r="C81" s="9" t="s">
        <v>168</v>
      </c>
      <c r="D81" s="8">
        <v>3</v>
      </c>
      <c r="E81" s="7">
        <v>1</v>
      </c>
      <c r="F81" s="7"/>
      <c r="G81" s="7"/>
      <c r="H81" s="7">
        <v>1</v>
      </c>
      <c r="I81" s="7"/>
      <c r="J81" s="7"/>
      <c r="K81" s="7"/>
      <c r="L81" s="7"/>
      <c r="M81" s="7"/>
      <c r="N81" s="7"/>
      <c r="O81" s="7"/>
      <c r="P81" s="7"/>
      <c r="Q81" s="7">
        <v>1</v>
      </c>
      <c r="R81" s="7"/>
      <c r="S81" s="7"/>
      <c r="T81" s="7"/>
      <c r="U81" s="7"/>
      <c r="V81" s="7">
        <f t="shared" si="2"/>
        <v>3</v>
      </c>
      <c r="W81" s="7">
        <f t="shared" si="3"/>
        <v>0</v>
      </c>
    </row>
    <row r="82" spans="1:23" ht="18.75" x14ac:dyDescent="0.3">
      <c r="A82" s="4">
        <v>81</v>
      </c>
      <c r="B82" s="7" t="s">
        <v>169</v>
      </c>
      <c r="C82" s="9" t="s">
        <v>170</v>
      </c>
      <c r="D82" s="8">
        <v>4</v>
      </c>
      <c r="E82" s="7">
        <v>1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>
        <v>1</v>
      </c>
      <c r="Q82" s="7"/>
      <c r="R82" s="7"/>
      <c r="S82" s="7"/>
      <c r="T82" s="7"/>
      <c r="U82" s="7"/>
      <c r="V82" s="7">
        <f t="shared" si="2"/>
        <v>2</v>
      </c>
      <c r="W82" s="7">
        <f t="shared" si="3"/>
        <v>2</v>
      </c>
    </row>
    <row r="83" spans="1:23" ht="18.75" x14ac:dyDescent="0.3">
      <c r="A83" s="4">
        <v>82</v>
      </c>
      <c r="B83" s="7" t="s">
        <v>171</v>
      </c>
      <c r="C83" s="9" t="s">
        <v>172</v>
      </c>
      <c r="D83" s="8">
        <v>2</v>
      </c>
      <c r="E83" s="7"/>
      <c r="F83" s="7"/>
      <c r="G83" s="7"/>
      <c r="H83" s="7">
        <v>1</v>
      </c>
      <c r="I83" s="7"/>
      <c r="J83" s="7"/>
      <c r="K83" s="7"/>
      <c r="L83" s="7"/>
      <c r="M83" s="7"/>
      <c r="N83" s="7"/>
      <c r="O83" s="7"/>
      <c r="P83" s="7">
        <v>1</v>
      </c>
      <c r="Q83" s="7"/>
      <c r="R83" s="7"/>
      <c r="S83" s="7"/>
      <c r="T83" s="7"/>
      <c r="U83" s="7"/>
      <c r="V83" s="7">
        <f t="shared" si="2"/>
        <v>2</v>
      </c>
      <c r="W83" s="7">
        <f t="shared" si="3"/>
        <v>0</v>
      </c>
    </row>
    <row r="84" spans="1:23" ht="18.75" x14ac:dyDescent="0.3">
      <c r="A84" s="4">
        <v>83</v>
      </c>
      <c r="B84" s="7" t="s">
        <v>173</v>
      </c>
      <c r="C84" s="9" t="s">
        <v>174</v>
      </c>
      <c r="D84" s="8">
        <v>3</v>
      </c>
      <c r="E84" s="7"/>
      <c r="F84" s="7"/>
      <c r="G84" s="7"/>
      <c r="H84" s="7">
        <v>1</v>
      </c>
      <c r="I84" s="7"/>
      <c r="J84" s="7"/>
      <c r="K84" s="7"/>
      <c r="L84" s="7"/>
      <c r="M84" s="7"/>
      <c r="N84" s="7"/>
      <c r="O84" s="7"/>
      <c r="P84" s="7">
        <v>2</v>
      </c>
      <c r="Q84" s="7"/>
      <c r="R84" s="7"/>
      <c r="S84" s="7"/>
      <c r="T84" s="7"/>
      <c r="U84" s="7"/>
      <c r="V84" s="7">
        <f t="shared" si="2"/>
        <v>3</v>
      </c>
      <c r="W84" s="7">
        <f t="shared" si="3"/>
        <v>0</v>
      </c>
    </row>
    <row r="85" spans="1:23" ht="18.75" x14ac:dyDescent="0.3">
      <c r="A85" s="4">
        <v>84</v>
      </c>
      <c r="B85" s="7" t="s">
        <v>175</v>
      </c>
      <c r="C85" s="9" t="s">
        <v>176</v>
      </c>
      <c r="D85" s="8">
        <v>3</v>
      </c>
      <c r="E85" s="7"/>
      <c r="F85" s="7"/>
      <c r="G85" s="7"/>
      <c r="H85" s="7">
        <v>1</v>
      </c>
      <c r="I85" s="7"/>
      <c r="J85" s="7"/>
      <c r="K85" s="7"/>
      <c r="L85" s="7"/>
      <c r="M85" s="7"/>
      <c r="N85" s="7"/>
      <c r="O85" s="7"/>
      <c r="P85" s="7">
        <v>2</v>
      </c>
      <c r="Q85" s="7"/>
      <c r="R85" s="7"/>
      <c r="S85" s="7"/>
      <c r="T85" s="7"/>
      <c r="U85" s="7"/>
      <c r="V85" s="7">
        <f t="shared" si="2"/>
        <v>3</v>
      </c>
      <c r="W85" s="7">
        <f t="shared" si="3"/>
        <v>0</v>
      </c>
    </row>
    <row r="86" spans="1:23" ht="18.75" x14ac:dyDescent="0.3">
      <c r="A86" s="4">
        <v>85</v>
      </c>
      <c r="B86" s="7" t="s">
        <v>177</v>
      </c>
      <c r="C86" s="9" t="s">
        <v>178</v>
      </c>
      <c r="D86" s="8">
        <v>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>
        <f t="shared" si="2"/>
        <v>0</v>
      </c>
      <c r="W86" s="7">
        <f t="shared" si="3"/>
        <v>1</v>
      </c>
    </row>
    <row r="87" spans="1:23" ht="18.75" x14ac:dyDescent="0.3">
      <c r="A87" s="4">
        <v>86</v>
      </c>
      <c r="B87" s="7" t="s">
        <v>179</v>
      </c>
      <c r="C87" s="9" t="s">
        <v>178</v>
      </c>
      <c r="D87" s="8">
        <v>1</v>
      </c>
      <c r="E87" s="7">
        <v>1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>
        <f t="shared" si="2"/>
        <v>1</v>
      </c>
      <c r="W87" s="7">
        <f t="shared" si="3"/>
        <v>0</v>
      </c>
    </row>
    <row r="88" spans="1:23" ht="18.75" x14ac:dyDescent="0.3">
      <c r="A88" s="4">
        <v>87</v>
      </c>
      <c r="B88" s="7" t="s">
        <v>180</v>
      </c>
      <c r="C88" s="9" t="s">
        <v>178</v>
      </c>
      <c r="D88" s="8">
        <v>1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>
        <v>1</v>
      </c>
      <c r="R88" s="7"/>
      <c r="S88" s="7"/>
      <c r="T88" s="7"/>
      <c r="U88" s="7"/>
      <c r="V88" s="7">
        <f t="shared" si="2"/>
        <v>1</v>
      </c>
      <c r="W88" s="7">
        <f t="shared" si="3"/>
        <v>0</v>
      </c>
    </row>
    <row r="89" spans="1:23" ht="18.75" x14ac:dyDescent="0.3">
      <c r="A89" s="4">
        <v>88</v>
      </c>
      <c r="B89" s="7" t="s">
        <v>181</v>
      </c>
      <c r="C89" s="9" t="s">
        <v>182</v>
      </c>
      <c r="D89" s="8">
        <v>15</v>
      </c>
      <c r="E89" s="7">
        <v>1</v>
      </c>
      <c r="F89" s="7"/>
      <c r="G89" s="7"/>
      <c r="H89" s="7">
        <v>3</v>
      </c>
      <c r="I89" s="7"/>
      <c r="J89" s="7"/>
      <c r="K89" s="7"/>
      <c r="L89" s="7"/>
      <c r="M89" s="7"/>
      <c r="N89" s="7"/>
      <c r="O89" s="7"/>
      <c r="P89" s="7">
        <v>4</v>
      </c>
      <c r="Q89" s="7">
        <v>2</v>
      </c>
      <c r="R89" s="7"/>
      <c r="S89" s="7"/>
      <c r="T89" s="7"/>
      <c r="U89" s="7"/>
      <c r="V89" s="7">
        <f t="shared" si="2"/>
        <v>10</v>
      </c>
      <c r="W89" s="7">
        <f t="shared" si="3"/>
        <v>5</v>
      </c>
    </row>
    <row r="90" spans="1:23" ht="18.75" x14ac:dyDescent="0.3">
      <c r="A90" s="4">
        <v>89</v>
      </c>
      <c r="B90" s="7" t="s">
        <v>183</v>
      </c>
      <c r="C90" s="9" t="s">
        <v>125</v>
      </c>
      <c r="D90" s="8">
        <v>5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>
        <f t="shared" si="2"/>
        <v>0</v>
      </c>
      <c r="W90" s="7">
        <f t="shared" si="3"/>
        <v>5</v>
      </c>
    </row>
    <row r="91" spans="1:23" ht="18.75" x14ac:dyDescent="0.3">
      <c r="A91" s="4">
        <v>90</v>
      </c>
      <c r="B91" s="7" t="s">
        <v>184</v>
      </c>
      <c r="C91" s="9" t="s">
        <v>185</v>
      </c>
      <c r="D91" s="8">
        <v>1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>
        <v>1</v>
      </c>
      <c r="R91" s="7"/>
      <c r="S91" s="7"/>
      <c r="T91" s="7"/>
      <c r="U91" s="7"/>
      <c r="V91" s="7">
        <f t="shared" si="2"/>
        <v>1</v>
      </c>
      <c r="W91" s="7">
        <f t="shared" si="3"/>
        <v>0</v>
      </c>
    </row>
    <row r="92" spans="1:23" ht="18.75" x14ac:dyDescent="0.3">
      <c r="A92" s="4">
        <v>91</v>
      </c>
      <c r="B92" s="7" t="s">
        <v>186</v>
      </c>
      <c r="C92" s="9" t="s">
        <v>187</v>
      </c>
      <c r="D92" s="8">
        <v>1</v>
      </c>
      <c r="E92" s="7"/>
      <c r="F92" s="7"/>
      <c r="G92" s="7"/>
      <c r="H92" s="7">
        <v>1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>
        <f t="shared" si="2"/>
        <v>1</v>
      </c>
      <c r="W92" s="7">
        <f t="shared" si="3"/>
        <v>0</v>
      </c>
    </row>
    <row r="93" spans="1:23" ht="18.75" x14ac:dyDescent="0.3">
      <c r="A93" s="4">
        <v>92</v>
      </c>
      <c r="B93" s="7" t="s">
        <v>188</v>
      </c>
      <c r="C93" s="9" t="s">
        <v>189</v>
      </c>
      <c r="D93" s="8">
        <v>2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>
        <v>1</v>
      </c>
      <c r="Q93" s="7"/>
      <c r="R93" s="7"/>
      <c r="S93" s="7"/>
      <c r="T93" s="7"/>
      <c r="U93" s="7"/>
      <c r="V93" s="7">
        <f t="shared" si="2"/>
        <v>1</v>
      </c>
      <c r="W93" s="7">
        <f t="shared" si="3"/>
        <v>1</v>
      </c>
    </row>
    <row r="94" spans="1:23" ht="18.75" x14ac:dyDescent="0.3">
      <c r="A94" s="4">
        <v>93</v>
      </c>
      <c r="B94" s="7" t="s">
        <v>190</v>
      </c>
      <c r="C94" s="9" t="s">
        <v>191</v>
      </c>
      <c r="D94" s="8">
        <v>1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>
        <v>1</v>
      </c>
      <c r="V94" s="7">
        <f t="shared" si="2"/>
        <v>1</v>
      </c>
      <c r="W94" s="7">
        <f t="shared" si="3"/>
        <v>0</v>
      </c>
    </row>
    <row r="95" spans="1:23" ht="18.75" x14ac:dyDescent="0.3">
      <c r="A95" s="4">
        <v>94</v>
      </c>
      <c r="B95" s="7" t="s">
        <v>114</v>
      </c>
      <c r="C95" s="9" t="s">
        <v>192</v>
      </c>
      <c r="D95" s="8">
        <v>1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>
        <f t="shared" si="2"/>
        <v>0</v>
      </c>
      <c r="W95" s="7">
        <f t="shared" si="3"/>
        <v>1</v>
      </c>
    </row>
    <row r="96" spans="1:23" ht="18.75" x14ac:dyDescent="0.3">
      <c r="A96" s="4">
        <v>95</v>
      </c>
      <c r="B96" s="7" t="s">
        <v>193</v>
      </c>
      <c r="C96" s="9" t="s">
        <v>194</v>
      </c>
      <c r="D96" s="8">
        <v>2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>
        <f t="shared" si="2"/>
        <v>0</v>
      </c>
      <c r="W96" s="7">
        <f t="shared" si="3"/>
        <v>2</v>
      </c>
    </row>
    <row r="97" spans="1:23" ht="18.75" x14ac:dyDescent="0.3">
      <c r="A97" s="4">
        <v>96</v>
      </c>
      <c r="B97" s="7" t="s">
        <v>195</v>
      </c>
      <c r="C97" s="9" t="s">
        <v>196</v>
      </c>
      <c r="D97" s="8">
        <v>2</v>
      </c>
      <c r="E97" s="7"/>
      <c r="F97" s="7"/>
      <c r="G97" s="7"/>
      <c r="H97" s="7">
        <v>1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>
        <f t="shared" si="2"/>
        <v>1</v>
      </c>
      <c r="W97" s="7">
        <f t="shared" si="3"/>
        <v>1</v>
      </c>
    </row>
    <row r="98" spans="1:23" ht="18.75" x14ac:dyDescent="0.3">
      <c r="A98" s="4">
        <v>97</v>
      </c>
      <c r="B98" s="7" t="s">
        <v>197</v>
      </c>
      <c r="C98" s="9" t="s">
        <v>198</v>
      </c>
      <c r="D98" s="8">
        <v>12</v>
      </c>
      <c r="E98" s="7"/>
      <c r="F98" s="7"/>
      <c r="G98" s="7"/>
      <c r="H98" s="7">
        <v>1</v>
      </c>
      <c r="I98" s="7"/>
      <c r="J98" s="7"/>
      <c r="K98" s="7"/>
      <c r="L98" s="7"/>
      <c r="M98" s="7"/>
      <c r="N98" s="7"/>
      <c r="O98" s="7"/>
      <c r="P98" s="7"/>
      <c r="Q98" s="7">
        <v>2</v>
      </c>
      <c r="R98" s="7"/>
      <c r="S98" s="7"/>
      <c r="T98" s="7"/>
      <c r="U98" s="7"/>
      <c r="V98" s="7">
        <f t="shared" si="2"/>
        <v>3</v>
      </c>
      <c r="W98" s="7">
        <f t="shared" si="3"/>
        <v>9</v>
      </c>
    </row>
    <row r="99" spans="1:23" ht="18.75" x14ac:dyDescent="0.3">
      <c r="A99" s="4">
        <v>98</v>
      </c>
      <c r="B99" s="7" t="s">
        <v>199</v>
      </c>
      <c r="C99" s="9" t="s">
        <v>200</v>
      </c>
      <c r="D99" s="8">
        <v>2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>
        <v>1</v>
      </c>
      <c r="R99" s="7"/>
      <c r="S99" s="7"/>
      <c r="T99" s="7"/>
      <c r="U99" s="7"/>
      <c r="V99" s="7">
        <f t="shared" si="2"/>
        <v>1</v>
      </c>
      <c r="W99" s="7">
        <f t="shared" si="3"/>
        <v>1</v>
      </c>
    </row>
    <row r="100" spans="1:23" ht="18.75" x14ac:dyDescent="0.3">
      <c r="A100" s="4">
        <v>99</v>
      </c>
      <c r="B100" s="7" t="s">
        <v>184</v>
      </c>
      <c r="C100" s="9" t="s">
        <v>201</v>
      </c>
      <c r="D100" s="8">
        <v>2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>
        <f t="shared" si="2"/>
        <v>0</v>
      </c>
      <c r="W100" s="7">
        <f t="shared" si="3"/>
        <v>2</v>
      </c>
    </row>
    <row r="101" spans="1:23" ht="18.75" x14ac:dyDescent="0.3">
      <c r="A101" s="4">
        <v>100</v>
      </c>
      <c r="B101" s="7" t="s">
        <v>202</v>
      </c>
      <c r="C101" s="9" t="s">
        <v>203</v>
      </c>
      <c r="D101" s="8">
        <v>2</v>
      </c>
      <c r="E101" s="7"/>
      <c r="F101" s="7"/>
      <c r="G101" s="7"/>
      <c r="H101" s="7"/>
      <c r="I101" s="7"/>
      <c r="J101" s="7"/>
      <c r="K101" s="7">
        <v>2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>
        <f t="shared" si="2"/>
        <v>2</v>
      </c>
      <c r="W101" s="7">
        <f t="shared" si="3"/>
        <v>0</v>
      </c>
    </row>
    <row r="102" spans="1:23" ht="18.75" x14ac:dyDescent="0.3">
      <c r="A102" s="4">
        <v>101</v>
      </c>
      <c r="B102" s="7" t="s">
        <v>204</v>
      </c>
      <c r="C102" s="9" t="s">
        <v>205</v>
      </c>
      <c r="D102" s="8">
        <v>1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1</v>
      </c>
      <c r="R102" s="7"/>
      <c r="S102" s="7"/>
      <c r="T102" s="7"/>
      <c r="U102" s="7"/>
      <c r="V102" s="7">
        <f t="shared" si="2"/>
        <v>1</v>
      </c>
      <c r="W102" s="7">
        <f t="shared" si="3"/>
        <v>0</v>
      </c>
    </row>
    <row r="103" spans="1:23" ht="18.75" x14ac:dyDescent="0.3">
      <c r="A103" s="4">
        <v>102</v>
      </c>
      <c r="B103" s="7" t="s">
        <v>206</v>
      </c>
      <c r="C103" s="9" t="s">
        <v>207</v>
      </c>
      <c r="D103" s="8">
        <v>103</v>
      </c>
      <c r="E103" s="7">
        <v>6</v>
      </c>
      <c r="F103" s="7"/>
      <c r="G103" s="7"/>
      <c r="H103" s="7">
        <v>12</v>
      </c>
      <c r="I103" s="7"/>
      <c r="J103" s="7"/>
      <c r="K103" s="7">
        <v>12</v>
      </c>
      <c r="L103" s="7"/>
      <c r="M103" s="7"/>
      <c r="N103" s="7"/>
      <c r="O103" s="7">
        <v>1</v>
      </c>
      <c r="P103" s="7">
        <v>12</v>
      </c>
      <c r="Q103" s="7">
        <v>12</v>
      </c>
      <c r="R103" s="7">
        <v>1</v>
      </c>
      <c r="S103" s="7"/>
      <c r="T103" s="7"/>
      <c r="U103" s="7">
        <v>3</v>
      </c>
      <c r="V103" s="7">
        <f t="shared" si="2"/>
        <v>59</v>
      </c>
      <c r="W103" s="7">
        <f t="shared" si="3"/>
        <v>44</v>
      </c>
    </row>
    <row r="104" spans="1:23" ht="18.75" x14ac:dyDescent="0.3">
      <c r="A104" s="4">
        <v>103</v>
      </c>
      <c r="B104" s="7" t="s">
        <v>208</v>
      </c>
      <c r="C104" s="9" t="s">
        <v>53</v>
      </c>
      <c r="D104" s="8">
        <v>15</v>
      </c>
      <c r="E104" s="7">
        <v>1</v>
      </c>
      <c r="F104" s="7"/>
      <c r="G104" s="7"/>
      <c r="H104" s="7"/>
      <c r="I104" s="7"/>
      <c r="J104" s="7"/>
      <c r="K104" s="7">
        <v>1</v>
      </c>
      <c r="L104" s="7"/>
      <c r="M104" s="7"/>
      <c r="N104" s="7"/>
      <c r="O104" s="7"/>
      <c r="P104" s="7">
        <v>3</v>
      </c>
      <c r="Q104" s="7">
        <v>2</v>
      </c>
      <c r="R104" s="7"/>
      <c r="S104" s="7"/>
      <c r="T104" s="7"/>
      <c r="U104" s="7"/>
      <c r="V104" s="7">
        <f t="shared" si="2"/>
        <v>7</v>
      </c>
      <c r="W104" s="7">
        <f t="shared" si="3"/>
        <v>8</v>
      </c>
    </row>
    <row r="105" spans="1:23" ht="18.75" x14ac:dyDescent="0.3">
      <c r="A105" s="4">
        <v>104</v>
      </c>
      <c r="B105" s="7" t="s">
        <v>209</v>
      </c>
      <c r="C105" s="9" t="s">
        <v>210</v>
      </c>
      <c r="D105" s="8">
        <v>22</v>
      </c>
      <c r="E105" s="7">
        <v>1</v>
      </c>
      <c r="F105" s="7"/>
      <c r="G105" s="7"/>
      <c r="H105" s="7">
        <v>6</v>
      </c>
      <c r="I105" s="7"/>
      <c r="J105" s="7"/>
      <c r="K105" s="7">
        <v>6</v>
      </c>
      <c r="L105" s="7"/>
      <c r="M105" s="7"/>
      <c r="N105" s="7"/>
      <c r="O105" s="7"/>
      <c r="P105" s="7"/>
      <c r="Q105" s="7">
        <v>3</v>
      </c>
      <c r="R105" s="7"/>
      <c r="S105" s="7"/>
      <c r="T105" s="7"/>
      <c r="U105" s="7"/>
      <c r="V105" s="7">
        <f t="shared" si="2"/>
        <v>16</v>
      </c>
      <c r="W105" s="7">
        <f t="shared" si="3"/>
        <v>6</v>
      </c>
    </row>
    <row r="106" spans="1:23" ht="18.75" x14ac:dyDescent="0.3">
      <c r="A106" s="4">
        <v>105</v>
      </c>
      <c r="B106" s="7" t="s">
        <v>211</v>
      </c>
      <c r="C106" s="9" t="s">
        <v>212</v>
      </c>
      <c r="D106" s="8">
        <v>20</v>
      </c>
      <c r="E106" s="7"/>
      <c r="F106" s="7"/>
      <c r="G106" s="7"/>
      <c r="H106" s="7">
        <v>4</v>
      </c>
      <c r="I106" s="7"/>
      <c r="J106" s="7"/>
      <c r="K106" s="7"/>
      <c r="L106" s="7"/>
      <c r="M106" s="7"/>
      <c r="N106" s="7"/>
      <c r="O106" s="7"/>
      <c r="P106" s="7">
        <v>4</v>
      </c>
      <c r="Q106" s="7">
        <v>9</v>
      </c>
      <c r="R106" s="7"/>
      <c r="S106" s="7"/>
      <c r="T106" s="7"/>
      <c r="U106" s="7"/>
      <c r="V106" s="7">
        <f t="shared" si="2"/>
        <v>17</v>
      </c>
      <c r="W106" s="7">
        <f t="shared" si="3"/>
        <v>3</v>
      </c>
    </row>
    <row r="107" spans="1:23" ht="18.75" x14ac:dyDescent="0.3">
      <c r="A107" s="4">
        <v>106</v>
      </c>
      <c r="B107" s="7" t="s">
        <v>213</v>
      </c>
      <c r="C107" s="9" t="s">
        <v>214</v>
      </c>
      <c r="D107" s="8">
        <v>5</v>
      </c>
      <c r="E107" s="7">
        <v>1</v>
      </c>
      <c r="F107" s="7"/>
      <c r="G107" s="7"/>
      <c r="H107" s="7">
        <v>1</v>
      </c>
      <c r="I107" s="7"/>
      <c r="J107" s="7"/>
      <c r="K107" s="7"/>
      <c r="L107" s="7"/>
      <c r="M107" s="7"/>
      <c r="N107" s="7"/>
      <c r="O107" s="7"/>
      <c r="P107" s="7">
        <v>1</v>
      </c>
      <c r="Q107" s="7">
        <v>1</v>
      </c>
      <c r="R107" s="7"/>
      <c r="S107" s="7"/>
      <c r="T107" s="7"/>
      <c r="U107" s="7"/>
      <c r="V107" s="7">
        <f t="shared" si="2"/>
        <v>4</v>
      </c>
      <c r="W107" s="7">
        <f t="shared" si="3"/>
        <v>1</v>
      </c>
    </row>
    <row r="108" spans="1:23" ht="18.75" x14ac:dyDescent="0.3">
      <c r="A108" s="4">
        <v>107</v>
      </c>
      <c r="B108" s="7" t="s">
        <v>215</v>
      </c>
      <c r="C108" s="9" t="s">
        <v>216</v>
      </c>
      <c r="D108" s="8">
        <v>5</v>
      </c>
      <c r="E108" s="7"/>
      <c r="F108" s="7"/>
      <c r="G108" s="7"/>
      <c r="H108" s="7">
        <v>1</v>
      </c>
      <c r="I108" s="7"/>
      <c r="J108" s="7"/>
      <c r="K108" s="7"/>
      <c r="L108" s="7"/>
      <c r="M108" s="7"/>
      <c r="N108" s="7"/>
      <c r="O108" s="7"/>
      <c r="P108" s="7">
        <v>1</v>
      </c>
      <c r="Q108" s="7">
        <v>1</v>
      </c>
      <c r="R108" s="7"/>
      <c r="S108" s="7"/>
      <c r="T108" s="7"/>
      <c r="U108" s="7"/>
      <c r="V108" s="7">
        <f t="shared" si="2"/>
        <v>3</v>
      </c>
      <c r="W108" s="7">
        <f t="shared" si="3"/>
        <v>2</v>
      </c>
    </row>
    <row r="109" spans="1:23" ht="18.75" x14ac:dyDescent="0.3">
      <c r="A109" s="4">
        <v>108</v>
      </c>
      <c r="B109" s="7" t="s">
        <v>217</v>
      </c>
      <c r="C109" s="9" t="s">
        <v>216</v>
      </c>
      <c r="D109" s="8">
        <v>5</v>
      </c>
      <c r="E109" s="7">
        <v>1</v>
      </c>
      <c r="F109" s="7"/>
      <c r="G109" s="7"/>
      <c r="H109" s="7">
        <v>1</v>
      </c>
      <c r="I109" s="7"/>
      <c r="J109" s="7"/>
      <c r="K109" s="7"/>
      <c r="L109" s="7"/>
      <c r="M109" s="7"/>
      <c r="N109" s="7"/>
      <c r="O109" s="7"/>
      <c r="P109" s="7">
        <v>1</v>
      </c>
      <c r="Q109" s="7">
        <v>6</v>
      </c>
      <c r="R109" s="7"/>
      <c r="S109" s="7"/>
      <c r="T109" s="7"/>
      <c r="U109" s="7"/>
      <c r="V109" s="7">
        <f t="shared" si="2"/>
        <v>9</v>
      </c>
      <c r="W109" s="7">
        <f t="shared" si="3"/>
        <v>-4</v>
      </c>
    </row>
    <row r="110" spans="1:23" ht="18.75" x14ac:dyDescent="0.3">
      <c r="A110" s="4">
        <v>109</v>
      </c>
      <c r="B110" s="7" t="s">
        <v>218</v>
      </c>
      <c r="C110" s="9" t="s">
        <v>219</v>
      </c>
      <c r="D110" s="8">
        <v>50</v>
      </c>
      <c r="E110" s="7">
        <v>10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>
        <v>10</v>
      </c>
      <c r="Q110" s="7"/>
      <c r="R110" s="7"/>
      <c r="S110" s="7">
        <v>1</v>
      </c>
      <c r="T110" s="7"/>
      <c r="U110" s="7">
        <v>3</v>
      </c>
      <c r="V110" s="7">
        <f t="shared" si="2"/>
        <v>24</v>
      </c>
      <c r="W110" s="7">
        <f t="shared" si="3"/>
        <v>26</v>
      </c>
    </row>
    <row r="111" spans="1:23" ht="18.75" x14ac:dyDescent="0.3">
      <c r="A111" s="4">
        <v>110</v>
      </c>
      <c r="B111" s="7" t="s">
        <v>220</v>
      </c>
      <c r="C111" s="9" t="s">
        <v>221</v>
      </c>
      <c r="D111" s="8">
        <v>3</v>
      </c>
      <c r="E111" s="7"/>
      <c r="F111" s="7"/>
      <c r="G111" s="7"/>
      <c r="H111" s="7">
        <v>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f t="shared" si="2"/>
        <v>1</v>
      </c>
      <c r="W111" s="7">
        <f t="shared" si="3"/>
        <v>2</v>
      </c>
    </row>
    <row r="112" spans="1:23" ht="18.75" x14ac:dyDescent="0.3">
      <c r="A112" s="4">
        <v>111</v>
      </c>
      <c r="B112" s="7" t="s">
        <v>202</v>
      </c>
      <c r="C112" s="9" t="s">
        <v>203</v>
      </c>
      <c r="D112" s="8">
        <v>10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>
        <f t="shared" si="2"/>
        <v>0</v>
      </c>
      <c r="W112" s="7">
        <f t="shared" si="3"/>
        <v>10</v>
      </c>
    </row>
    <row r="113" spans="1:23" ht="18.75" x14ac:dyDescent="0.3">
      <c r="A113" s="4">
        <v>112</v>
      </c>
      <c r="B113" s="7" t="s">
        <v>222</v>
      </c>
      <c r="C113" s="9" t="s">
        <v>223</v>
      </c>
      <c r="D113" s="8">
        <v>300</v>
      </c>
      <c r="E113" s="7">
        <v>3</v>
      </c>
      <c r="F113" s="7"/>
      <c r="G113" s="7"/>
      <c r="H113" s="7">
        <v>6</v>
      </c>
      <c r="I113" s="7"/>
      <c r="J113" s="7"/>
      <c r="K113" s="7">
        <v>18</v>
      </c>
      <c r="L113" s="7"/>
      <c r="M113" s="7"/>
      <c r="N113" s="7"/>
      <c r="O113" s="7"/>
      <c r="P113" s="7">
        <v>18</v>
      </c>
      <c r="Q113" s="7">
        <v>6</v>
      </c>
      <c r="R113" s="7"/>
      <c r="S113" s="7"/>
      <c r="T113" s="7"/>
      <c r="U113" s="7"/>
      <c r="V113" s="7">
        <f t="shared" si="2"/>
        <v>51</v>
      </c>
      <c r="W113" s="7">
        <f t="shared" si="3"/>
        <v>249</v>
      </c>
    </row>
    <row r="114" spans="1:23" ht="18.75" x14ac:dyDescent="0.3">
      <c r="A114" s="4">
        <v>113</v>
      </c>
      <c r="B114" s="7" t="s">
        <v>224</v>
      </c>
      <c r="C114" s="9" t="s">
        <v>225</v>
      </c>
      <c r="D114" s="8">
        <v>1</v>
      </c>
      <c r="E114" s="7"/>
      <c r="F114" s="7"/>
      <c r="G114" s="7"/>
      <c r="H114" s="7">
        <v>1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>
        <f t="shared" si="2"/>
        <v>1</v>
      </c>
      <c r="W114" s="7">
        <f t="shared" si="3"/>
        <v>0</v>
      </c>
    </row>
    <row r="115" spans="1:23" ht="18.75" x14ac:dyDescent="0.3">
      <c r="A115" s="4">
        <v>114</v>
      </c>
      <c r="B115" s="7" t="s">
        <v>226</v>
      </c>
      <c r="C115" s="9" t="s">
        <v>227</v>
      </c>
      <c r="D115" s="8">
        <v>2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>
        <f t="shared" si="2"/>
        <v>0</v>
      </c>
      <c r="W115" s="7">
        <f t="shared" si="3"/>
        <v>2</v>
      </c>
    </row>
    <row r="116" spans="1:23" ht="18.75" x14ac:dyDescent="0.3">
      <c r="A116" s="4">
        <v>115</v>
      </c>
      <c r="B116" s="7" t="s">
        <v>228</v>
      </c>
      <c r="C116" s="9" t="s">
        <v>229</v>
      </c>
      <c r="D116" s="8">
        <v>2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>
        <v>1</v>
      </c>
      <c r="Q116" s="7"/>
      <c r="R116" s="7"/>
      <c r="S116" s="7"/>
      <c r="T116" s="7"/>
      <c r="U116" s="7"/>
      <c r="V116" s="7">
        <f t="shared" si="2"/>
        <v>1</v>
      </c>
      <c r="W116" s="7">
        <f t="shared" si="3"/>
        <v>1</v>
      </c>
    </row>
    <row r="117" spans="1:23" ht="18.75" x14ac:dyDescent="0.3">
      <c r="A117" s="4">
        <v>116</v>
      </c>
      <c r="B117" s="7" t="s">
        <v>230</v>
      </c>
      <c r="C117" s="9" t="s">
        <v>231</v>
      </c>
      <c r="D117" s="8">
        <v>2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>
        <f t="shared" si="2"/>
        <v>0</v>
      </c>
      <c r="W117" s="7">
        <f t="shared" si="3"/>
        <v>2</v>
      </c>
    </row>
    <row r="118" spans="1:23" ht="18.75" x14ac:dyDescent="0.3">
      <c r="A118" s="4">
        <v>117</v>
      </c>
      <c r="B118" s="7" t="s">
        <v>232</v>
      </c>
      <c r="C118" s="9" t="s">
        <v>233</v>
      </c>
      <c r="D118" s="8">
        <v>7</v>
      </c>
      <c r="E118" s="7"/>
      <c r="F118" s="7"/>
      <c r="G118" s="7"/>
      <c r="H118" s="7">
        <v>1</v>
      </c>
      <c r="I118" s="7"/>
      <c r="J118" s="7"/>
      <c r="K118" s="7"/>
      <c r="L118" s="7"/>
      <c r="M118" s="7"/>
      <c r="N118" s="7"/>
      <c r="O118" s="7"/>
      <c r="P118" s="7"/>
      <c r="Q118" s="7">
        <v>1</v>
      </c>
      <c r="R118" s="7"/>
      <c r="S118" s="7">
        <v>1</v>
      </c>
      <c r="T118" s="7"/>
      <c r="U118" s="7"/>
      <c r="V118" s="7">
        <f t="shared" si="2"/>
        <v>3</v>
      </c>
      <c r="W118" s="7">
        <f t="shared" si="3"/>
        <v>4</v>
      </c>
    </row>
    <row r="119" spans="1:23" ht="18.75" x14ac:dyDescent="0.3">
      <c r="A119" s="4">
        <v>118</v>
      </c>
      <c r="B119" s="7" t="s">
        <v>234</v>
      </c>
      <c r="C119" s="9" t="s">
        <v>235</v>
      </c>
      <c r="D119" s="8">
        <v>15</v>
      </c>
      <c r="E119" s="7"/>
      <c r="F119" s="7"/>
      <c r="G119" s="7"/>
      <c r="H119" s="7">
        <v>2</v>
      </c>
      <c r="I119" s="7"/>
      <c r="J119" s="7"/>
      <c r="K119" s="7"/>
      <c r="L119" s="7"/>
      <c r="M119" s="7"/>
      <c r="N119" s="7"/>
      <c r="O119" s="7"/>
      <c r="P119" s="7">
        <v>1</v>
      </c>
      <c r="Q119" s="7">
        <v>3</v>
      </c>
      <c r="R119" s="7"/>
      <c r="S119" s="7"/>
      <c r="T119" s="7"/>
      <c r="U119" s="7"/>
      <c r="V119" s="7">
        <f t="shared" si="2"/>
        <v>6</v>
      </c>
      <c r="W119" s="7">
        <f t="shared" si="3"/>
        <v>9</v>
      </c>
    </row>
    <row r="120" spans="1:23" ht="18.75" x14ac:dyDescent="0.3">
      <c r="A120" s="4">
        <v>119</v>
      </c>
      <c r="B120" s="7" t="s">
        <v>236</v>
      </c>
      <c r="C120" s="9" t="s">
        <v>237</v>
      </c>
      <c r="D120" s="8">
        <v>2</v>
      </c>
      <c r="E120" s="7"/>
      <c r="F120" s="7"/>
      <c r="G120" s="7"/>
      <c r="H120" s="7"/>
      <c r="I120" s="7"/>
      <c r="J120" s="7"/>
      <c r="K120" s="7">
        <v>1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>
        <f t="shared" si="2"/>
        <v>1</v>
      </c>
      <c r="W120" s="7">
        <f t="shared" si="3"/>
        <v>1</v>
      </c>
    </row>
    <row r="121" spans="1:23" ht="18.75" x14ac:dyDescent="0.3">
      <c r="A121" s="4">
        <v>120</v>
      </c>
      <c r="B121" s="7" t="s">
        <v>238</v>
      </c>
      <c r="C121" s="9" t="s">
        <v>239</v>
      </c>
      <c r="D121" s="8">
        <v>23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>
        <v>4</v>
      </c>
      <c r="R121" s="7"/>
      <c r="S121" s="7">
        <v>1</v>
      </c>
      <c r="T121" s="7">
        <v>1</v>
      </c>
      <c r="U121" s="7">
        <v>1</v>
      </c>
      <c r="V121" s="7">
        <f t="shared" si="2"/>
        <v>7</v>
      </c>
      <c r="W121" s="7">
        <f t="shared" si="3"/>
        <v>16</v>
      </c>
    </row>
    <row r="122" spans="1:23" ht="18.75" x14ac:dyDescent="0.3">
      <c r="A122" s="4">
        <v>121</v>
      </c>
      <c r="B122" s="7" t="s">
        <v>240</v>
      </c>
      <c r="C122" s="9" t="s">
        <v>241</v>
      </c>
      <c r="D122" s="8">
        <v>2</v>
      </c>
      <c r="E122" s="7"/>
      <c r="F122" s="7"/>
      <c r="G122" s="7"/>
      <c r="H122" s="7">
        <v>1</v>
      </c>
      <c r="I122" s="7"/>
      <c r="J122" s="7"/>
      <c r="K122" s="7"/>
      <c r="L122" s="7"/>
      <c r="M122" s="7"/>
      <c r="N122" s="7"/>
      <c r="O122" s="7"/>
      <c r="P122" s="7">
        <v>1</v>
      </c>
      <c r="Q122" s="7"/>
      <c r="R122" s="7"/>
      <c r="S122" s="7"/>
      <c r="T122" s="7"/>
      <c r="U122" s="7"/>
      <c r="V122" s="7">
        <f t="shared" si="2"/>
        <v>2</v>
      </c>
      <c r="W122" s="7">
        <f t="shared" si="3"/>
        <v>0</v>
      </c>
    </row>
    <row r="123" spans="1:23" ht="18.75" x14ac:dyDescent="0.3">
      <c r="A123" s="4">
        <v>122</v>
      </c>
      <c r="B123" s="7" t="s">
        <v>242</v>
      </c>
      <c r="C123" s="9" t="s">
        <v>243</v>
      </c>
      <c r="D123" s="8">
        <v>2</v>
      </c>
      <c r="E123" s="7"/>
      <c r="F123" s="7"/>
      <c r="G123" s="7"/>
      <c r="H123" s="7">
        <v>1</v>
      </c>
      <c r="I123" s="7"/>
      <c r="J123" s="7"/>
      <c r="K123" s="7"/>
      <c r="L123" s="7"/>
      <c r="M123" s="7"/>
      <c r="N123" s="7"/>
      <c r="O123" s="7"/>
      <c r="P123" s="7">
        <v>1</v>
      </c>
      <c r="Q123" s="7"/>
      <c r="R123" s="7"/>
      <c r="S123" s="7"/>
      <c r="T123" s="7"/>
      <c r="U123" s="7"/>
      <c r="V123" s="7">
        <f t="shared" si="2"/>
        <v>2</v>
      </c>
      <c r="W123" s="7">
        <f t="shared" si="3"/>
        <v>0</v>
      </c>
    </row>
    <row r="124" spans="1:23" ht="18.75" x14ac:dyDescent="0.3">
      <c r="A124" s="4">
        <v>123</v>
      </c>
      <c r="B124" s="7" t="s">
        <v>244</v>
      </c>
      <c r="C124" s="9" t="s">
        <v>245</v>
      </c>
      <c r="D124" s="8">
        <v>5</v>
      </c>
      <c r="E124" s="7">
        <v>1</v>
      </c>
      <c r="F124" s="7"/>
      <c r="G124" s="7"/>
      <c r="H124" s="7">
        <v>1</v>
      </c>
      <c r="I124" s="7"/>
      <c r="J124" s="7"/>
      <c r="K124" s="7"/>
      <c r="L124" s="7"/>
      <c r="M124" s="7"/>
      <c r="N124" s="7"/>
      <c r="O124" s="7"/>
      <c r="P124" s="7">
        <v>1</v>
      </c>
      <c r="Q124" s="7">
        <v>2</v>
      </c>
      <c r="R124" s="7"/>
      <c r="S124" s="7"/>
      <c r="T124" s="7"/>
      <c r="U124" s="7"/>
      <c r="V124" s="7">
        <f t="shared" si="2"/>
        <v>5</v>
      </c>
      <c r="W124" s="7">
        <f t="shared" si="3"/>
        <v>0</v>
      </c>
    </row>
    <row r="125" spans="1:23" ht="18.75" x14ac:dyDescent="0.3">
      <c r="A125" s="4">
        <v>124</v>
      </c>
      <c r="B125" s="7" t="s">
        <v>246</v>
      </c>
      <c r="C125" s="9" t="s">
        <v>247</v>
      </c>
      <c r="D125" s="8">
        <v>2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>
        <f t="shared" si="2"/>
        <v>0</v>
      </c>
      <c r="W125" s="7">
        <f t="shared" si="3"/>
        <v>2</v>
      </c>
    </row>
    <row r="126" spans="1:23" ht="18.75" x14ac:dyDescent="0.3">
      <c r="A126" s="4">
        <v>125</v>
      </c>
      <c r="B126" s="7" t="s">
        <v>248</v>
      </c>
      <c r="C126" s="9" t="s">
        <v>249</v>
      </c>
      <c r="D126" s="8">
        <v>3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>
        <f t="shared" si="2"/>
        <v>0</v>
      </c>
      <c r="W126" s="7">
        <f t="shared" si="3"/>
        <v>3</v>
      </c>
    </row>
    <row r="127" spans="1:23" ht="18.75" x14ac:dyDescent="0.3">
      <c r="A127" s="4">
        <v>126</v>
      </c>
      <c r="B127" s="7" t="s">
        <v>250</v>
      </c>
      <c r="C127" s="9" t="s">
        <v>251</v>
      </c>
      <c r="D127" s="8">
        <v>5</v>
      </c>
      <c r="E127" s="7"/>
      <c r="F127" s="7"/>
      <c r="G127" s="7"/>
      <c r="H127" s="7">
        <v>1</v>
      </c>
      <c r="I127" s="7"/>
      <c r="J127" s="7"/>
      <c r="K127" s="7"/>
      <c r="L127" s="7"/>
      <c r="M127" s="7"/>
      <c r="N127" s="7"/>
      <c r="O127" s="7"/>
      <c r="P127" s="7"/>
      <c r="Q127" s="7">
        <v>1</v>
      </c>
      <c r="R127" s="7"/>
      <c r="S127" s="7"/>
      <c r="T127" s="7"/>
      <c r="U127" s="7"/>
      <c r="V127" s="7">
        <f t="shared" si="2"/>
        <v>2</v>
      </c>
      <c r="W127" s="7">
        <f t="shared" si="3"/>
        <v>3</v>
      </c>
    </row>
    <row r="128" spans="1:23" ht="18.75" x14ac:dyDescent="0.3">
      <c r="A128" s="4">
        <v>127</v>
      </c>
      <c r="B128" s="7" t="s">
        <v>252</v>
      </c>
      <c r="C128" s="9" t="s">
        <v>253</v>
      </c>
      <c r="D128" s="8">
        <v>2</v>
      </c>
      <c r="E128" s="7"/>
      <c r="F128" s="7"/>
      <c r="G128" s="7"/>
      <c r="H128" s="7">
        <v>1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>
        <f t="shared" si="2"/>
        <v>1</v>
      </c>
      <c r="W128" s="7">
        <f t="shared" si="3"/>
        <v>1</v>
      </c>
    </row>
    <row r="129" spans="1:23" ht="18.75" x14ac:dyDescent="0.3">
      <c r="A129" s="4">
        <v>128</v>
      </c>
      <c r="B129" s="7" t="s">
        <v>254</v>
      </c>
      <c r="C129" s="9" t="s">
        <v>255</v>
      </c>
      <c r="D129" s="8">
        <v>2</v>
      </c>
      <c r="E129" s="7"/>
      <c r="F129" s="7"/>
      <c r="G129" s="7"/>
      <c r="H129" s="7">
        <v>1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>
        <f t="shared" si="2"/>
        <v>1</v>
      </c>
      <c r="W129" s="7">
        <f t="shared" si="3"/>
        <v>1</v>
      </c>
    </row>
    <row r="130" spans="1:23" ht="18.75" x14ac:dyDescent="0.3">
      <c r="A130" s="4">
        <v>129</v>
      </c>
      <c r="B130" s="7" t="s">
        <v>256</v>
      </c>
      <c r="C130" s="9" t="s">
        <v>257</v>
      </c>
      <c r="D130" s="8">
        <v>2</v>
      </c>
      <c r="E130" s="7"/>
      <c r="F130" s="7"/>
      <c r="G130" s="7"/>
      <c r="H130" s="7">
        <v>1</v>
      </c>
      <c r="I130" s="7"/>
      <c r="J130" s="7"/>
      <c r="K130" s="7"/>
      <c r="L130" s="7"/>
      <c r="M130" s="7"/>
      <c r="N130" s="7"/>
      <c r="O130" s="7"/>
      <c r="P130" s="7">
        <v>1</v>
      </c>
      <c r="Q130" s="7"/>
      <c r="R130" s="7"/>
      <c r="S130" s="7"/>
      <c r="T130" s="7"/>
      <c r="U130" s="7"/>
      <c r="V130" s="7">
        <f t="shared" si="2"/>
        <v>2</v>
      </c>
      <c r="W130" s="7">
        <f t="shared" si="3"/>
        <v>0</v>
      </c>
    </row>
    <row r="131" spans="1:23" ht="18.75" x14ac:dyDescent="0.3">
      <c r="A131" s="4">
        <v>130</v>
      </c>
      <c r="B131" s="7" t="s">
        <v>258</v>
      </c>
      <c r="C131" s="9" t="s">
        <v>259</v>
      </c>
      <c r="D131" s="8">
        <v>2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>
        <f t="shared" ref="V131:V194" si="4">SUM(E131:U131)</f>
        <v>0</v>
      </c>
      <c r="W131" s="7">
        <f t="shared" ref="W131:W194" si="5">D131-V131</f>
        <v>2</v>
      </c>
    </row>
    <row r="132" spans="1:23" ht="18.75" x14ac:dyDescent="0.3">
      <c r="A132" s="4">
        <v>131</v>
      </c>
      <c r="B132" s="7" t="s">
        <v>260</v>
      </c>
      <c r="C132" s="9" t="s">
        <v>261</v>
      </c>
      <c r="D132" s="8">
        <v>8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>
        <v>4</v>
      </c>
      <c r="Q132" s="7">
        <v>1</v>
      </c>
      <c r="R132" s="7"/>
      <c r="S132" s="7"/>
      <c r="T132" s="7"/>
      <c r="U132" s="7">
        <v>1</v>
      </c>
      <c r="V132" s="7">
        <f t="shared" si="4"/>
        <v>6</v>
      </c>
      <c r="W132" s="7">
        <f t="shared" si="5"/>
        <v>2</v>
      </c>
    </row>
    <row r="133" spans="1:23" ht="18.75" x14ac:dyDescent="0.3">
      <c r="A133" s="4">
        <v>132</v>
      </c>
      <c r="B133" s="7" t="s">
        <v>262</v>
      </c>
      <c r="C133" s="9" t="s">
        <v>263</v>
      </c>
      <c r="D133" s="8">
        <v>6</v>
      </c>
      <c r="E133" s="7"/>
      <c r="F133" s="7"/>
      <c r="G133" s="7"/>
      <c r="H133" s="7">
        <v>2</v>
      </c>
      <c r="I133" s="7"/>
      <c r="J133" s="7"/>
      <c r="K133" s="7"/>
      <c r="L133" s="7"/>
      <c r="M133" s="7"/>
      <c r="N133" s="7"/>
      <c r="O133" s="7"/>
      <c r="P133" s="7">
        <v>1</v>
      </c>
      <c r="Q133" s="7"/>
      <c r="R133" s="7"/>
      <c r="S133" s="7"/>
      <c r="T133" s="7"/>
      <c r="U133" s="7">
        <v>2</v>
      </c>
      <c r="V133" s="7">
        <f t="shared" si="4"/>
        <v>5</v>
      </c>
      <c r="W133" s="7">
        <f t="shared" si="5"/>
        <v>1</v>
      </c>
    </row>
    <row r="134" spans="1:23" ht="18.75" x14ac:dyDescent="0.3">
      <c r="A134" s="4">
        <v>133</v>
      </c>
      <c r="B134" s="7" t="s">
        <v>264</v>
      </c>
      <c r="C134" s="9" t="s">
        <v>265</v>
      </c>
      <c r="D134" s="8">
        <v>5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>
        <v>2</v>
      </c>
      <c r="Q134" s="7"/>
      <c r="R134" s="7"/>
      <c r="S134" s="7"/>
      <c r="T134" s="7"/>
      <c r="U134" s="7"/>
      <c r="V134" s="7">
        <f t="shared" si="4"/>
        <v>2</v>
      </c>
      <c r="W134" s="7">
        <f t="shared" si="5"/>
        <v>3</v>
      </c>
    </row>
    <row r="135" spans="1:23" ht="18.75" x14ac:dyDescent="0.3">
      <c r="A135" s="4">
        <v>134</v>
      </c>
      <c r="B135" s="7" t="s">
        <v>266</v>
      </c>
      <c r="C135" s="9" t="s">
        <v>267</v>
      </c>
      <c r="D135" s="8">
        <v>2</v>
      </c>
      <c r="E135" s="7"/>
      <c r="F135" s="7"/>
      <c r="G135" s="7"/>
      <c r="H135" s="7">
        <v>1</v>
      </c>
      <c r="I135" s="7"/>
      <c r="J135" s="7"/>
      <c r="K135" s="7">
        <v>2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f t="shared" si="4"/>
        <v>3</v>
      </c>
      <c r="W135" s="7">
        <f t="shared" si="5"/>
        <v>-1</v>
      </c>
    </row>
    <row r="136" spans="1:23" ht="18.75" x14ac:dyDescent="0.3">
      <c r="A136" s="4">
        <v>135</v>
      </c>
      <c r="B136" s="7" t="s">
        <v>268</v>
      </c>
      <c r="C136" s="9" t="s">
        <v>269</v>
      </c>
      <c r="D136" s="8">
        <v>4</v>
      </c>
      <c r="E136" s="7"/>
      <c r="F136" s="7"/>
      <c r="G136" s="7"/>
      <c r="H136" s="7"/>
      <c r="I136" s="7"/>
      <c r="J136" s="7"/>
      <c r="K136" s="7">
        <v>2</v>
      </c>
      <c r="L136" s="7"/>
      <c r="M136" s="7"/>
      <c r="N136" s="7"/>
      <c r="O136" s="7"/>
      <c r="P136" s="7"/>
      <c r="Q136" s="7">
        <v>1</v>
      </c>
      <c r="R136" s="7"/>
      <c r="S136" s="7"/>
      <c r="T136" s="7"/>
      <c r="U136" s="7"/>
      <c r="V136" s="7">
        <f t="shared" si="4"/>
        <v>3</v>
      </c>
      <c r="W136" s="7">
        <f t="shared" si="5"/>
        <v>1</v>
      </c>
    </row>
    <row r="137" spans="1:23" ht="18.75" x14ac:dyDescent="0.3">
      <c r="A137" s="4">
        <v>136</v>
      </c>
      <c r="B137" s="7" t="s">
        <v>270</v>
      </c>
      <c r="C137" s="9" t="s">
        <v>267</v>
      </c>
      <c r="D137" s="8">
        <v>6</v>
      </c>
      <c r="E137" s="7"/>
      <c r="F137" s="7"/>
      <c r="G137" s="7"/>
      <c r="H137" s="7"/>
      <c r="I137" s="7"/>
      <c r="J137" s="7"/>
      <c r="K137" s="7">
        <v>6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>
        <f t="shared" si="4"/>
        <v>6</v>
      </c>
      <c r="W137" s="7">
        <f t="shared" si="5"/>
        <v>0</v>
      </c>
    </row>
    <row r="138" spans="1:23" ht="18.75" x14ac:dyDescent="0.3">
      <c r="A138" s="4">
        <v>137</v>
      </c>
      <c r="B138" s="7" t="s">
        <v>271</v>
      </c>
      <c r="C138" s="9" t="s">
        <v>272</v>
      </c>
      <c r="D138" s="8">
        <v>6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>
        <v>1</v>
      </c>
      <c r="Q138" s="7">
        <v>1</v>
      </c>
      <c r="R138" s="7"/>
      <c r="S138" s="7"/>
      <c r="T138" s="7"/>
      <c r="U138" s="7"/>
      <c r="V138" s="7">
        <f t="shared" si="4"/>
        <v>2</v>
      </c>
      <c r="W138" s="7">
        <f t="shared" si="5"/>
        <v>4</v>
      </c>
    </row>
    <row r="139" spans="1:23" ht="18.75" x14ac:dyDescent="0.3">
      <c r="A139" s="4">
        <v>138</v>
      </c>
      <c r="B139" s="7" t="s">
        <v>273</v>
      </c>
      <c r="C139" s="9" t="s">
        <v>274</v>
      </c>
      <c r="D139" s="8">
        <v>6</v>
      </c>
      <c r="E139" s="7"/>
      <c r="F139" s="7"/>
      <c r="G139" s="7"/>
      <c r="H139" s="7">
        <v>1</v>
      </c>
      <c r="I139" s="7"/>
      <c r="J139" s="7"/>
      <c r="K139" s="7"/>
      <c r="L139" s="7"/>
      <c r="M139" s="7"/>
      <c r="N139" s="7"/>
      <c r="O139" s="7"/>
      <c r="P139" s="7">
        <v>1</v>
      </c>
      <c r="Q139" s="7">
        <v>1</v>
      </c>
      <c r="R139" s="7"/>
      <c r="S139" s="7"/>
      <c r="T139" s="7"/>
      <c r="U139" s="7"/>
      <c r="V139" s="7">
        <f t="shared" si="4"/>
        <v>3</v>
      </c>
      <c r="W139" s="7">
        <f t="shared" si="5"/>
        <v>3</v>
      </c>
    </row>
    <row r="140" spans="1:23" ht="18.75" x14ac:dyDescent="0.3">
      <c r="A140" s="4">
        <v>139</v>
      </c>
      <c r="B140" s="7" t="s">
        <v>275</v>
      </c>
      <c r="C140" s="9" t="s">
        <v>276</v>
      </c>
      <c r="D140" s="8">
        <v>2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>
        <v>1</v>
      </c>
      <c r="R140" s="7"/>
      <c r="S140" s="7"/>
      <c r="T140" s="7"/>
      <c r="U140" s="7">
        <v>1</v>
      </c>
      <c r="V140" s="7">
        <f t="shared" si="4"/>
        <v>2</v>
      </c>
      <c r="W140" s="7">
        <f t="shared" si="5"/>
        <v>0</v>
      </c>
    </row>
    <row r="141" spans="1:23" ht="18.75" x14ac:dyDescent="0.3">
      <c r="A141" s="4">
        <v>140</v>
      </c>
      <c r="B141" s="7" t="s">
        <v>277</v>
      </c>
      <c r="C141" s="9" t="s">
        <v>278</v>
      </c>
      <c r="D141" s="8">
        <v>1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>
        <f t="shared" si="4"/>
        <v>0</v>
      </c>
      <c r="W141" s="7">
        <f t="shared" si="5"/>
        <v>1</v>
      </c>
    </row>
    <row r="142" spans="1:23" ht="18.75" x14ac:dyDescent="0.3">
      <c r="A142" s="4">
        <v>141</v>
      </c>
      <c r="B142" s="7" t="s">
        <v>279</v>
      </c>
      <c r="C142" s="9" t="s">
        <v>280</v>
      </c>
      <c r="D142" s="8">
        <v>1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>
        <v>1</v>
      </c>
      <c r="Q142" s="7"/>
      <c r="R142" s="7"/>
      <c r="S142" s="7"/>
      <c r="T142" s="7"/>
      <c r="U142" s="7"/>
      <c r="V142" s="7">
        <f t="shared" si="4"/>
        <v>1</v>
      </c>
      <c r="W142" s="7">
        <f t="shared" si="5"/>
        <v>0</v>
      </c>
    </row>
    <row r="143" spans="1:23" ht="18.75" x14ac:dyDescent="0.3">
      <c r="A143" s="4">
        <v>142</v>
      </c>
      <c r="B143" s="7" t="s">
        <v>281</v>
      </c>
      <c r="C143" s="9" t="s">
        <v>282</v>
      </c>
      <c r="D143" s="8">
        <v>22</v>
      </c>
      <c r="E143" s="7"/>
      <c r="F143" s="7"/>
      <c r="G143" s="7"/>
      <c r="H143" s="7"/>
      <c r="I143" s="7"/>
      <c r="J143" s="7"/>
      <c r="K143" s="7">
        <v>6</v>
      </c>
      <c r="L143" s="7"/>
      <c r="M143" s="7"/>
      <c r="N143" s="7"/>
      <c r="O143" s="7"/>
      <c r="P143" s="7"/>
      <c r="Q143" s="7">
        <v>2</v>
      </c>
      <c r="R143" s="7"/>
      <c r="S143" s="7"/>
      <c r="T143" s="7"/>
      <c r="U143" s="7"/>
      <c r="V143" s="7">
        <f t="shared" si="4"/>
        <v>8</v>
      </c>
      <c r="W143" s="7">
        <f t="shared" si="5"/>
        <v>14</v>
      </c>
    </row>
    <row r="144" spans="1:23" ht="18.75" x14ac:dyDescent="0.3">
      <c r="A144" s="4">
        <v>143</v>
      </c>
      <c r="B144" s="7" t="s">
        <v>283</v>
      </c>
      <c r="C144" s="9" t="s">
        <v>284</v>
      </c>
      <c r="D144" s="8">
        <v>4</v>
      </c>
      <c r="E144" s="7"/>
      <c r="F144" s="7"/>
      <c r="G144" s="7"/>
      <c r="H144" s="7">
        <v>1</v>
      </c>
      <c r="I144" s="7"/>
      <c r="J144" s="7"/>
      <c r="K144" s="7">
        <v>1</v>
      </c>
      <c r="L144" s="7"/>
      <c r="M144" s="7"/>
      <c r="N144" s="7"/>
      <c r="O144" s="7"/>
      <c r="P144" s="7"/>
      <c r="Q144" s="7">
        <v>2</v>
      </c>
      <c r="R144" s="7"/>
      <c r="S144" s="7">
        <v>1</v>
      </c>
      <c r="T144" s="7"/>
      <c r="U144" s="7"/>
      <c r="V144" s="7">
        <f t="shared" si="4"/>
        <v>5</v>
      </c>
      <c r="W144" s="7">
        <f t="shared" si="5"/>
        <v>-1</v>
      </c>
    </row>
    <row r="145" spans="1:23" ht="18.75" x14ac:dyDescent="0.3">
      <c r="A145" s="4">
        <v>144</v>
      </c>
      <c r="B145" s="7" t="s">
        <v>285</v>
      </c>
      <c r="C145" s="9" t="s">
        <v>286</v>
      </c>
      <c r="D145" s="8">
        <v>15</v>
      </c>
      <c r="E145" s="7"/>
      <c r="F145" s="7"/>
      <c r="G145" s="7"/>
      <c r="H145" s="7">
        <v>2</v>
      </c>
      <c r="I145" s="7"/>
      <c r="J145" s="7"/>
      <c r="K145" s="7"/>
      <c r="L145" s="7"/>
      <c r="M145" s="7"/>
      <c r="N145" s="7"/>
      <c r="O145" s="7"/>
      <c r="P145" s="7">
        <v>3</v>
      </c>
      <c r="Q145" s="7">
        <v>3</v>
      </c>
      <c r="R145" s="7"/>
      <c r="S145" s="7"/>
      <c r="T145" s="7"/>
      <c r="U145" s="7">
        <v>1</v>
      </c>
      <c r="V145" s="7">
        <f t="shared" si="4"/>
        <v>9</v>
      </c>
      <c r="W145" s="7">
        <f t="shared" si="5"/>
        <v>6</v>
      </c>
    </row>
    <row r="146" spans="1:23" ht="18.75" x14ac:dyDescent="0.3">
      <c r="A146" s="4">
        <v>145</v>
      </c>
      <c r="B146" s="7" t="s">
        <v>287</v>
      </c>
      <c r="C146" s="9" t="s">
        <v>288</v>
      </c>
      <c r="D146" s="8">
        <v>28</v>
      </c>
      <c r="E146" s="7"/>
      <c r="F146" s="7"/>
      <c r="G146" s="7"/>
      <c r="H146" s="7">
        <v>1</v>
      </c>
      <c r="I146" s="7"/>
      <c r="J146" s="7"/>
      <c r="K146" s="7"/>
      <c r="L146" s="7"/>
      <c r="M146" s="7"/>
      <c r="N146" s="7"/>
      <c r="O146" s="7"/>
      <c r="P146" s="7">
        <v>1</v>
      </c>
      <c r="Q146" s="7">
        <v>5</v>
      </c>
      <c r="R146" s="7"/>
      <c r="S146" s="7"/>
      <c r="T146" s="7"/>
      <c r="U146" s="7"/>
      <c r="V146" s="7">
        <f t="shared" si="4"/>
        <v>7</v>
      </c>
      <c r="W146" s="7">
        <f t="shared" si="5"/>
        <v>21</v>
      </c>
    </row>
    <row r="147" spans="1:23" ht="18.75" x14ac:dyDescent="0.3">
      <c r="A147" s="4">
        <v>146</v>
      </c>
      <c r="B147" s="7" t="s">
        <v>289</v>
      </c>
      <c r="C147" s="9" t="s">
        <v>290</v>
      </c>
      <c r="D147" s="8">
        <v>1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>
        <f t="shared" si="4"/>
        <v>0</v>
      </c>
      <c r="W147" s="7">
        <f t="shared" si="5"/>
        <v>1</v>
      </c>
    </row>
    <row r="148" spans="1:23" ht="18.75" x14ac:dyDescent="0.3">
      <c r="A148" s="4">
        <v>147</v>
      </c>
      <c r="B148" s="7" t="s">
        <v>291</v>
      </c>
      <c r="C148" s="9" t="s">
        <v>292</v>
      </c>
      <c r="D148" s="8">
        <v>2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>
        <f t="shared" si="4"/>
        <v>0</v>
      </c>
      <c r="W148" s="7">
        <f t="shared" si="5"/>
        <v>2</v>
      </c>
    </row>
    <row r="149" spans="1:23" ht="18.75" x14ac:dyDescent="0.3">
      <c r="A149" s="4">
        <v>148</v>
      </c>
      <c r="B149" s="7" t="s">
        <v>293</v>
      </c>
      <c r="C149" s="9" t="s">
        <v>294</v>
      </c>
      <c r="D149" s="8">
        <v>1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>
        <f t="shared" si="4"/>
        <v>0</v>
      </c>
      <c r="W149" s="7">
        <f t="shared" si="5"/>
        <v>1</v>
      </c>
    </row>
    <row r="150" spans="1:23" ht="18.75" x14ac:dyDescent="0.3">
      <c r="A150" s="4">
        <v>149</v>
      </c>
      <c r="B150" s="7" t="s">
        <v>295</v>
      </c>
      <c r="C150" s="9" t="s">
        <v>296</v>
      </c>
      <c r="D150" s="8">
        <v>2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>
        <f t="shared" si="4"/>
        <v>0</v>
      </c>
      <c r="W150" s="7">
        <f t="shared" si="5"/>
        <v>2</v>
      </c>
    </row>
    <row r="151" spans="1:23" ht="18.75" x14ac:dyDescent="0.3">
      <c r="A151" s="4">
        <v>150</v>
      </c>
      <c r="B151" s="7" t="s">
        <v>297</v>
      </c>
      <c r="C151" s="9" t="s">
        <v>298</v>
      </c>
      <c r="D151" s="8">
        <v>5</v>
      </c>
      <c r="E151" s="7"/>
      <c r="F151" s="7"/>
      <c r="G151" s="7"/>
      <c r="H151" s="7">
        <v>1</v>
      </c>
      <c r="I151" s="7"/>
      <c r="J151" s="7"/>
      <c r="K151" s="7"/>
      <c r="L151" s="7"/>
      <c r="M151" s="7"/>
      <c r="N151" s="7"/>
      <c r="O151" s="7"/>
      <c r="P151" s="7"/>
      <c r="Q151" s="7">
        <v>3</v>
      </c>
      <c r="R151" s="7"/>
      <c r="S151" s="7">
        <v>1</v>
      </c>
      <c r="T151" s="7"/>
      <c r="U151" s="7"/>
      <c r="V151" s="7">
        <f t="shared" si="4"/>
        <v>5</v>
      </c>
      <c r="W151" s="7">
        <f t="shared" si="5"/>
        <v>0</v>
      </c>
    </row>
    <row r="152" spans="1:23" ht="18.75" x14ac:dyDescent="0.3">
      <c r="A152" s="4">
        <v>151</v>
      </c>
      <c r="B152" s="7" t="s">
        <v>299</v>
      </c>
      <c r="C152" s="9" t="s">
        <v>300</v>
      </c>
      <c r="D152" s="8">
        <v>8</v>
      </c>
      <c r="E152" s="7"/>
      <c r="F152" s="7"/>
      <c r="G152" s="7"/>
      <c r="H152" s="7">
        <v>1</v>
      </c>
      <c r="I152" s="7"/>
      <c r="J152" s="7"/>
      <c r="K152" s="7"/>
      <c r="L152" s="7"/>
      <c r="M152" s="7"/>
      <c r="N152" s="7"/>
      <c r="O152" s="7"/>
      <c r="P152" s="7">
        <v>1</v>
      </c>
      <c r="Q152" s="7">
        <v>1</v>
      </c>
      <c r="R152" s="7"/>
      <c r="S152" s="7"/>
      <c r="T152" s="7"/>
      <c r="U152" s="7"/>
      <c r="V152" s="7">
        <f t="shared" si="4"/>
        <v>3</v>
      </c>
      <c r="W152" s="7">
        <f t="shared" si="5"/>
        <v>5</v>
      </c>
    </row>
    <row r="153" spans="1:23" ht="18.75" x14ac:dyDescent="0.3">
      <c r="A153" s="4">
        <v>152</v>
      </c>
      <c r="B153" s="7" t="s">
        <v>301</v>
      </c>
      <c r="C153" s="9" t="s">
        <v>302</v>
      </c>
      <c r="D153" s="8">
        <v>2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>
        <f t="shared" si="4"/>
        <v>0</v>
      </c>
      <c r="W153" s="7">
        <f t="shared" si="5"/>
        <v>2</v>
      </c>
    </row>
    <row r="154" spans="1:23" ht="18.75" x14ac:dyDescent="0.3">
      <c r="A154" s="4">
        <v>153</v>
      </c>
      <c r="B154" s="7" t="s">
        <v>303</v>
      </c>
      <c r="C154" s="9" t="s">
        <v>304</v>
      </c>
      <c r="D154" s="8">
        <v>2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>
        <f t="shared" si="4"/>
        <v>0</v>
      </c>
      <c r="W154" s="7">
        <f t="shared" si="5"/>
        <v>2</v>
      </c>
    </row>
    <row r="155" spans="1:23" ht="18.75" x14ac:dyDescent="0.3">
      <c r="A155" s="4">
        <v>154</v>
      </c>
      <c r="B155" s="7" t="s">
        <v>305</v>
      </c>
      <c r="C155" s="9" t="s">
        <v>306</v>
      </c>
      <c r="D155" s="8">
        <v>52</v>
      </c>
      <c r="E155" s="7"/>
      <c r="F155" s="7"/>
      <c r="G155" s="7"/>
      <c r="H155" s="7">
        <v>12</v>
      </c>
      <c r="I155" s="7"/>
      <c r="J155" s="7"/>
      <c r="K155" s="7">
        <v>2</v>
      </c>
      <c r="L155" s="7"/>
      <c r="M155" s="7"/>
      <c r="N155" s="7"/>
      <c r="O155" s="7">
        <v>10</v>
      </c>
      <c r="P155" s="7">
        <v>1</v>
      </c>
      <c r="Q155" s="7">
        <v>1</v>
      </c>
      <c r="R155" s="7"/>
      <c r="S155" s="7"/>
      <c r="T155" s="7"/>
      <c r="U155" s="7"/>
      <c r="V155" s="7">
        <f t="shared" si="4"/>
        <v>26</v>
      </c>
      <c r="W155" s="7">
        <f t="shared" si="5"/>
        <v>26</v>
      </c>
    </row>
    <row r="156" spans="1:23" ht="18.75" x14ac:dyDescent="0.3">
      <c r="A156" s="4">
        <v>155</v>
      </c>
      <c r="B156" s="7" t="s">
        <v>307</v>
      </c>
      <c r="C156" s="9" t="s">
        <v>308</v>
      </c>
      <c r="D156" s="8">
        <v>2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>
        <f t="shared" si="4"/>
        <v>0</v>
      </c>
      <c r="W156" s="7">
        <f t="shared" si="5"/>
        <v>2</v>
      </c>
    </row>
    <row r="157" spans="1:23" ht="18.75" x14ac:dyDescent="0.3">
      <c r="A157" s="4">
        <v>156</v>
      </c>
      <c r="B157" s="7" t="s">
        <v>309</v>
      </c>
      <c r="C157" s="9" t="s">
        <v>308</v>
      </c>
      <c r="D157" s="8">
        <v>2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>
        <f t="shared" si="4"/>
        <v>0</v>
      </c>
      <c r="W157" s="7">
        <f t="shared" si="5"/>
        <v>2</v>
      </c>
    </row>
    <row r="158" spans="1:23" ht="18.75" x14ac:dyDescent="0.3">
      <c r="A158" s="4">
        <v>157</v>
      </c>
      <c r="B158" s="7" t="s">
        <v>310</v>
      </c>
      <c r="C158" s="9" t="s">
        <v>311</v>
      </c>
      <c r="D158" s="8">
        <v>27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>
        <v>2</v>
      </c>
      <c r="Q158" s="7"/>
      <c r="R158" s="7"/>
      <c r="S158" s="7"/>
      <c r="T158" s="7"/>
      <c r="U158" s="7"/>
      <c r="V158" s="7">
        <f t="shared" si="4"/>
        <v>2</v>
      </c>
      <c r="W158" s="7">
        <f t="shared" si="5"/>
        <v>25</v>
      </c>
    </row>
    <row r="159" spans="1:23" ht="18.75" x14ac:dyDescent="0.3">
      <c r="A159" s="4">
        <v>158</v>
      </c>
      <c r="B159" s="7" t="s">
        <v>312</v>
      </c>
      <c r="C159" s="9" t="s">
        <v>313</v>
      </c>
      <c r="D159" s="8">
        <v>3</v>
      </c>
      <c r="E159" s="7"/>
      <c r="F159" s="7"/>
      <c r="G159" s="7"/>
      <c r="H159" s="7">
        <v>1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>
        <f t="shared" si="4"/>
        <v>1</v>
      </c>
      <c r="W159" s="7">
        <f t="shared" si="5"/>
        <v>2</v>
      </c>
    </row>
    <row r="160" spans="1:23" ht="18.75" x14ac:dyDescent="0.3">
      <c r="A160" s="4">
        <v>159</v>
      </c>
      <c r="B160" s="7" t="s">
        <v>314</v>
      </c>
      <c r="C160" s="9" t="s">
        <v>315</v>
      </c>
      <c r="D160" s="8">
        <v>17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>
        <v>2</v>
      </c>
      <c r="Q160" s="7"/>
      <c r="R160" s="7"/>
      <c r="S160" s="7"/>
      <c r="T160" s="7"/>
      <c r="U160" s="7"/>
      <c r="V160" s="7">
        <f t="shared" si="4"/>
        <v>2</v>
      </c>
      <c r="W160" s="7">
        <f t="shared" si="5"/>
        <v>15</v>
      </c>
    </row>
    <row r="161" spans="1:23" ht="18.75" x14ac:dyDescent="0.3">
      <c r="A161" s="4">
        <v>160</v>
      </c>
      <c r="B161" s="7" t="s">
        <v>316</v>
      </c>
      <c r="C161" s="9" t="s">
        <v>317</v>
      </c>
      <c r="D161" s="8">
        <v>2</v>
      </c>
      <c r="E161" s="7"/>
      <c r="F161" s="7"/>
      <c r="G161" s="7"/>
      <c r="H161" s="7"/>
      <c r="I161" s="7"/>
      <c r="J161" s="7"/>
      <c r="K161" s="7">
        <v>1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>
        <f t="shared" si="4"/>
        <v>1</v>
      </c>
      <c r="W161" s="7">
        <f t="shared" si="5"/>
        <v>1</v>
      </c>
    </row>
    <row r="162" spans="1:23" ht="18.75" x14ac:dyDescent="0.3">
      <c r="A162" s="4">
        <v>161</v>
      </c>
      <c r="B162" s="7" t="s">
        <v>318</v>
      </c>
      <c r="C162" s="9" t="s">
        <v>319</v>
      </c>
      <c r="D162" s="8">
        <v>2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>
        <v>1</v>
      </c>
      <c r="V162" s="7">
        <f t="shared" si="4"/>
        <v>1</v>
      </c>
      <c r="W162" s="7">
        <f t="shared" si="5"/>
        <v>1</v>
      </c>
    </row>
    <row r="163" spans="1:23" ht="18.75" x14ac:dyDescent="0.3">
      <c r="A163" s="4">
        <v>162</v>
      </c>
      <c r="B163" s="7" t="s">
        <v>320</v>
      </c>
      <c r="C163" s="9" t="s">
        <v>321</v>
      </c>
      <c r="D163" s="8">
        <v>32</v>
      </c>
      <c r="E163" s="7"/>
      <c r="F163" s="7"/>
      <c r="G163" s="7"/>
      <c r="H163" s="7">
        <v>2</v>
      </c>
      <c r="I163" s="7"/>
      <c r="J163" s="7"/>
      <c r="K163" s="7">
        <v>6</v>
      </c>
      <c r="L163" s="7"/>
      <c r="M163" s="7"/>
      <c r="N163" s="7"/>
      <c r="O163" s="7"/>
      <c r="P163" s="7">
        <v>2</v>
      </c>
      <c r="Q163" s="7">
        <v>4</v>
      </c>
      <c r="R163" s="7"/>
      <c r="S163" s="7"/>
      <c r="T163" s="7"/>
      <c r="U163" s="7"/>
      <c r="V163" s="7">
        <f t="shared" si="4"/>
        <v>14</v>
      </c>
      <c r="W163" s="7">
        <f t="shared" si="5"/>
        <v>18</v>
      </c>
    </row>
    <row r="164" spans="1:23" ht="18.75" x14ac:dyDescent="0.3">
      <c r="A164" s="4">
        <v>163</v>
      </c>
      <c r="B164" s="7" t="s">
        <v>322</v>
      </c>
      <c r="C164" s="9" t="s">
        <v>323</v>
      </c>
      <c r="D164" s="8">
        <v>2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>
        <v>1</v>
      </c>
      <c r="V164" s="7">
        <f t="shared" si="4"/>
        <v>1</v>
      </c>
      <c r="W164" s="7">
        <f t="shared" si="5"/>
        <v>1</v>
      </c>
    </row>
    <row r="165" spans="1:23" ht="18.75" x14ac:dyDescent="0.3">
      <c r="A165" s="4">
        <v>164</v>
      </c>
      <c r="B165" s="7" t="s">
        <v>324</v>
      </c>
      <c r="C165" s="9" t="s">
        <v>323</v>
      </c>
      <c r="D165" s="8">
        <v>2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>
        <f t="shared" si="4"/>
        <v>0</v>
      </c>
      <c r="W165" s="7">
        <f t="shared" si="5"/>
        <v>2</v>
      </c>
    </row>
    <row r="166" spans="1:23" ht="18.75" x14ac:dyDescent="0.3">
      <c r="A166" s="4">
        <v>165</v>
      </c>
      <c r="B166" s="7" t="s">
        <v>325</v>
      </c>
      <c r="C166" s="9" t="s">
        <v>326</v>
      </c>
      <c r="D166" s="8">
        <v>2</v>
      </c>
      <c r="E166" s="7"/>
      <c r="F166" s="7"/>
      <c r="G166" s="7"/>
      <c r="H166" s="7">
        <v>1</v>
      </c>
      <c r="I166" s="7"/>
      <c r="J166" s="7"/>
      <c r="K166" s="7"/>
      <c r="L166" s="7"/>
      <c r="M166" s="7"/>
      <c r="N166" s="7"/>
      <c r="O166" s="7"/>
      <c r="P166" s="7">
        <v>1</v>
      </c>
      <c r="Q166" s="7"/>
      <c r="R166" s="7"/>
      <c r="S166" s="7"/>
      <c r="T166" s="7"/>
      <c r="U166" s="7"/>
      <c r="V166" s="7">
        <f t="shared" si="4"/>
        <v>2</v>
      </c>
      <c r="W166" s="7">
        <f t="shared" si="5"/>
        <v>0</v>
      </c>
    </row>
    <row r="167" spans="1:23" ht="18.75" x14ac:dyDescent="0.3">
      <c r="A167" s="4">
        <v>166</v>
      </c>
      <c r="B167" s="7" t="s">
        <v>327</v>
      </c>
      <c r="C167" s="9" t="s">
        <v>326</v>
      </c>
      <c r="D167" s="8">
        <v>12</v>
      </c>
      <c r="E167" s="7"/>
      <c r="F167" s="7"/>
      <c r="G167" s="7"/>
      <c r="H167" s="7">
        <v>1</v>
      </c>
      <c r="I167" s="7"/>
      <c r="J167" s="7"/>
      <c r="K167" s="7">
        <v>3</v>
      </c>
      <c r="L167" s="7"/>
      <c r="M167" s="7"/>
      <c r="N167" s="7"/>
      <c r="O167" s="7"/>
      <c r="P167" s="7">
        <v>1</v>
      </c>
      <c r="Q167" s="7">
        <v>4</v>
      </c>
      <c r="R167" s="7"/>
      <c r="S167" s="7"/>
      <c r="T167" s="7"/>
      <c r="U167" s="7"/>
      <c r="V167" s="7">
        <f t="shared" si="4"/>
        <v>9</v>
      </c>
      <c r="W167" s="7">
        <f t="shared" si="5"/>
        <v>3</v>
      </c>
    </row>
    <row r="168" spans="1:23" ht="18.75" x14ac:dyDescent="0.3">
      <c r="A168" s="4">
        <v>167</v>
      </c>
      <c r="B168" s="7" t="s">
        <v>328</v>
      </c>
      <c r="C168" s="9" t="s">
        <v>329</v>
      </c>
      <c r="D168" s="8">
        <v>2</v>
      </c>
      <c r="E168" s="7"/>
      <c r="F168" s="7"/>
      <c r="G168" s="7"/>
      <c r="H168" s="7"/>
      <c r="I168" s="7"/>
      <c r="J168" s="7"/>
      <c r="K168" s="7">
        <v>1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>
        <f t="shared" si="4"/>
        <v>1</v>
      </c>
      <c r="W168" s="7">
        <f t="shared" si="5"/>
        <v>1</v>
      </c>
    </row>
    <row r="169" spans="1:23" ht="18.75" x14ac:dyDescent="0.3">
      <c r="A169" s="4">
        <v>168</v>
      </c>
      <c r="B169" s="7" t="s">
        <v>330</v>
      </c>
      <c r="C169" s="9" t="s">
        <v>331</v>
      </c>
      <c r="D169" s="8">
        <v>2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>
        <f t="shared" si="4"/>
        <v>0</v>
      </c>
      <c r="W169" s="7">
        <f t="shared" si="5"/>
        <v>2</v>
      </c>
    </row>
    <row r="170" spans="1:23" ht="18.75" x14ac:dyDescent="0.3">
      <c r="A170" s="4">
        <v>169</v>
      </c>
      <c r="B170" s="7" t="s">
        <v>332</v>
      </c>
      <c r="C170" s="9" t="s">
        <v>333</v>
      </c>
      <c r="D170" s="8">
        <v>2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>
        <f t="shared" si="4"/>
        <v>0</v>
      </c>
      <c r="W170" s="7">
        <f t="shared" si="5"/>
        <v>2</v>
      </c>
    </row>
    <row r="171" spans="1:23" ht="18.75" x14ac:dyDescent="0.3">
      <c r="A171" s="4">
        <v>170</v>
      </c>
      <c r="B171" s="7" t="s">
        <v>334</v>
      </c>
      <c r="C171" s="9" t="s">
        <v>335</v>
      </c>
      <c r="D171" s="8">
        <v>2</v>
      </c>
      <c r="E171" s="7"/>
      <c r="F171" s="7">
        <v>2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>
        <f t="shared" si="4"/>
        <v>2</v>
      </c>
      <c r="W171" s="7">
        <f t="shared" si="5"/>
        <v>0</v>
      </c>
    </row>
    <row r="172" spans="1:23" ht="18.75" x14ac:dyDescent="0.3">
      <c r="A172" s="4">
        <v>171</v>
      </c>
      <c r="B172" s="7" t="s">
        <v>336</v>
      </c>
      <c r="C172" s="9" t="s">
        <v>337</v>
      </c>
      <c r="D172" s="8">
        <v>2</v>
      </c>
      <c r="E172" s="7"/>
      <c r="F172" s="7"/>
      <c r="G172" s="7"/>
      <c r="H172" s="7"/>
      <c r="I172" s="7"/>
      <c r="J172" s="7"/>
      <c r="K172" s="7">
        <v>2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>
        <f t="shared" si="4"/>
        <v>2</v>
      </c>
      <c r="W172" s="7">
        <f t="shared" si="5"/>
        <v>0</v>
      </c>
    </row>
    <row r="173" spans="1:23" ht="18.75" x14ac:dyDescent="0.3">
      <c r="A173" s="4">
        <v>172</v>
      </c>
      <c r="B173" s="7" t="s">
        <v>338</v>
      </c>
      <c r="C173" s="9" t="s">
        <v>339</v>
      </c>
      <c r="D173" s="8">
        <v>2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>
        <f t="shared" si="4"/>
        <v>0</v>
      </c>
      <c r="W173" s="7">
        <f t="shared" si="5"/>
        <v>2</v>
      </c>
    </row>
    <row r="174" spans="1:23" ht="18.75" x14ac:dyDescent="0.3">
      <c r="A174" s="4">
        <v>173</v>
      </c>
      <c r="B174" s="7" t="s">
        <v>340</v>
      </c>
      <c r="C174" s="9" t="s">
        <v>341</v>
      </c>
      <c r="D174" s="8">
        <v>2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>
        <f t="shared" si="4"/>
        <v>0</v>
      </c>
      <c r="W174" s="7">
        <f t="shared" si="5"/>
        <v>2</v>
      </c>
    </row>
    <row r="175" spans="1:23" ht="18.75" x14ac:dyDescent="0.3">
      <c r="A175" s="4">
        <v>174</v>
      </c>
      <c r="B175" s="7" t="s">
        <v>342</v>
      </c>
      <c r="C175" s="9" t="s">
        <v>341</v>
      </c>
      <c r="D175" s="8">
        <v>2</v>
      </c>
      <c r="E175" s="7"/>
      <c r="F175" s="7"/>
      <c r="G175" s="7"/>
      <c r="H175" s="7"/>
      <c r="I175" s="7"/>
      <c r="J175" s="7"/>
      <c r="K175" s="7">
        <v>2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>
        <f t="shared" si="4"/>
        <v>2</v>
      </c>
      <c r="W175" s="7">
        <f t="shared" si="5"/>
        <v>0</v>
      </c>
    </row>
    <row r="176" spans="1:23" ht="18.75" x14ac:dyDescent="0.3">
      <c r="A176" s="4">
        <v>175</v>
      </c>
      <c r="B176" s="7" t="s">
        <v>343</v>
      </c>
      <c r="C176" s="9" t="s">
        <v>344</v>
      </c>
      <c r="D176" s="8">
        <v>2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>
        <f t="shared" si="4"/>
        <v>0</v>
      </c>
      <c r="W176" s="7">
        <f t="shared" si="5"/>
        <v>2</v>
      </c>
    </row>
    <row r="177" spans="1:23" ht="18.75" x14ac:dyDescent="0.3">
      <c r="A177" s="4">
        <v>176</v>
      </c>
      <c r="B177" s="7" t="s">
        <v>345</v>
      </c>
      <c r="C177" s="9" t="s">
        <v>346</v>
      </c>
      <c r="D177" s="8">
        <v>2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>
        <f t="shared" si="4"/>
        <v>0</v>
      </c>
      <c r="W177" s="7">
        <f t="shared" si="5"/>
        <v>2</v>
      </c>
    </row>
    <row r="178" spans="1:23" ht="18.75" x14ac:dyDescent="0.3">
      <c r="A178" s="4">
        <v>177</v>
      </c>
      <c r="B178" s="7" t="s">
        <v>347</v>
      </c>
      <c r="C178" s="9" t="s">
        <v>348</v>
      </c>
      <c r="D178" s="8">
        <v>2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>
        <f t="shared" si="4"/>
        <v>0</v>
      </c>
      <c r="W178" s="7">
        <f t="shared" si="5"/>
        <v>2</v>
      </c>
    </row>
    <row r="179" spans="1:23" ht="18.75" x14ac:dyDescent="0.3">
      <c r="A179" s="4">
        <v>178</v>
      </c>
      <c r="B179" s="7" t="s">
        <v>349</v>
      </c>
      <c r="C179" s="9" t="s">
        <v>350</v>
      </c>
      <c r="D179" s="8">
        <v>2</v>
      </c>
      <c r="E179" s="7"/>
      <c r="F179" s="7"/>
      <c r="G179" s="7"/>
      <c r="H179" s="7"/>
      <c r="I179" s="7"/>
      <c r="J179" s="7"/>
      <c r="K179" s="7">
        <v>2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>
        <f t="shared" si="4"/>
        <v>2</v>
      </c>
      <c r="W179" s="7">
        <f t="shared" si="5"/>
        <v>0</v>
      </c>
    </row>
    <row r="180" spans="1:23" ht="18.75" x14ac:dyDescent="0.3">
      <c r="A180" s="4">
        <v>179</v>
      </c>
      <c r="B180" s="7" t="s">
        <v>351</v>
      </c>
      <c r="C180" s="9" t="s">
        <v>352</v>
      </c>
      <c r="D180" s="8">
        <v>2</v>
      </c>
      <c r="E180" s="7"/>
      <c r="F180" s="7"/>
      <c r="G180" s="7"/>
      <c r="H180" s="7"/>
      <c r="I180" s="7"/>
      <c r="J180" s="7"/>
      <c r="K180" s="7">
        <v>2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>
        <f t="shared" si="4"/>
        <v>2</v>
      </c>
      <c r="W180" s="7">
        <f t="shared" si="5"/>
        <v>0</v>
      </c>
    </row>
    <row r="181" spans="1:23" ht="18.75" x14ac:dyDescent="0.3">
      <c r="A181" s="4">
        <v>180</v>
      </c>
      <c r="B181" s="7" t="s">
        <v>353</v>
      </c>
      <c r="C181" s="9" t="s">
        <v>354</v>
      </c>
      <c r="D181" s="8">
        <v>2</v>
      </c>
      <c r="E181" s="7">
        <v>2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>
        <f t="shared" si="4"/>
        <v>2</v>
      </c>
      <c r="W181" s="7">
        <f t="shared" si="5"/>
        <v>0</v>
      </c>
    </row>
    <row r="182" spans="1:23" ht="18.75" x14ac:dyDescent="0.3">
      <c r="A182" s="4">
        <v>181</v>
      </c>
      <c r="B182" s="7" t="s">
        <v>355</v>
      </c>
      <c r="C182" s="9" t="s">
        <v>356</v>
      </c>
      <c r="D182" s="8">
        <v>384</v>
      </c>
      <c r="E182" s="7">
        <v>45</v>
      </c>
      <c r="F182" s="7"/>
      <c r="G182" s="7"/>
      <c r="H182" s="7">
        <v>50</v>
      </c>
      <c r="I182" s="7"/>
      <c r="J182" s="7"/>
      <c r="K182" s="7">
        <v>50</v>
      </c>
      <c r="L182" s="7"/>
      <c r="M182" s="7"/>
      <c r="N182" s="7"/>
      <c r="O182" s="7"/>
      <c r="P182" s="7">
        <v>62</v>
      </c>
      <c r="Q182" s="7">
        <v>50</v>
      </c>
      <c r="R182" s="7"/>
      <c r="S182" s="7"/>
      <c r="T182" s="7"/>
      <c r="U182" s="7">
        <v>3</v>
      </c>
      <c r="V182" s="7">
        <f t="shared" si="4"/>
        <v>260</v>
      </c>
      <c r="W182" s="7">
        <f t="shared" si="5"/>
        <v>124</v>
      </c>
    </row>
    <row r="183" spans="1:23" ht="18.75" x14ac:dyDescent="0.3">
      <c r="A183" s="4">
        <v>182</v>
      </c>
      <c r="B183" s="7" t="s">
        <v>357</v>
      </c>
      <c r="C183" s="9" t="s">
        <v>358</v>
      </c>
      <c r="D183" s="8">
        <v>24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>
        <v>6</v>
      </c>
      <c r="Q183" s="7"/>
      <c r="R183" s="7"/>
      <c r="S183" s="7"/>
      <c r="T183" s="7"/>
      <c r="U183" s="7"/>
      <c r="V183" s="7">
        <f t="shared" si="4"/>
        <v>6</v>
      </c>
      <c r="W183" s="7">
        <f t="shared" si="5"/>
        <v>18</v>
      </c>
    </row>
    <row r="184" spans="1:23" ht="18.75" x14ac:dyDescent="0.3">
      <c r="A184" s="4">
        <v>183</v>
      </c>
      <c r="B184" s="7" t="s">
        <v>359</v>
      </c>
      <c r="C184" s="9" t="s">
        <v>356</v>
      </c>
      <c r="D184" s="8">
        <v>24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>
        <v>6</v>
      </c>
      <c r="R184" s="7"/>
      <c r="S184" s="7"/>
      <c r="T184" s="7"/>
      <c r="U184" s="7"/>
      <c r="V184" s="7">
        <f t="shared" si="4"/>
        <v>6</v>
      </c>
      <c r="W184" s="7">
        <f t="shared" si="5"/>
        <v>18</v>
      </c>
    </row>
    <row r="185" spans="1:23" ht="18.75" x14ac:dyDescent="0.3">
      <c r="A185" s="4">
        <v>184</v>
      </c>
      <c r="B185" s="7" t="s">
        <v>360</v>
      </c>
      <c r="C185" s="9" t="s">
        <v>361</v>
      </c>
      <c r="D185" s="8">
        <v>2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>
        <v>2</v>
      </c>
      <c r="Q185" s="7"/>
      <c r="R185" s="7"/>
      <c r="S185" s="7"/>
      <c r="T185" s="7"/>
      <c r="U185" s="7"/>
      <c r="V185" s="7">
        <f t="shared" si="4"/>
        <v>2</v>
      </c>
      <c r="W185" s="7">
        <f t="shared" si="5"/>
        <v>0</v>
      </c>
    </row>
    <row r="186" spans="1:23" ht="18.75" x14ac:dyDescent="0.3">
      <c r="A186" s="4">
        <v>185</v>
      </c>
      <c r="B186" s="7" t="s">
        <v>362</v>
      </c>
      <c r="C186" s="9" t="s">
        <v>363</v>
      </c>
      <c r="D186" s="8">
        <v>2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>
        <f t="shared" si="4"/>
        <v>0</v>
      </c>
      <c r="W186" s="7">
        <f t="shared" si="5"/>
        <v>2</v>
      </c>
    </row>
    <row r="187" spans="1:23" ht="18.75" x14ac:dyDescent="0.3">
      <c r="A187" s="4">
        <v>186</v>
      </c>
      <c r="B187" s="7" t="s">
        <v>364</v>
      </c>
      <c r="C187" s="9" t="s">
        <v>365</v>
      </c>
      <c r="D187" s="8">
        <v>2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>
        <f t="shared" si="4"/>
        <v>0</v>
      </c>
      <c r="W187" s="7">
        <f t="shared" si="5"/>
        <v>2</v>
      </c>
    </row>
    <row r="188" spans="1:23" ht="18.75" x14ac:dyDescent="0.3">
      <c r="A188" s="4">
        <v>187</v>
      </c>
      <c r="B188" s="7" t="s">
        <v>366</v>
      </c>
      <c r="C188" s="9" t="s">
        <v>367</v>
      </c>
      <c r="D188" s="8">
        <v>12</v>
      </c>
      <c r="E188" s="7"/>
      <c r="F188" s="7"/>
      <c r="G188" s="7"/>
      <c r="H188" s="7"/>
      <c r="I188" s="7"/>
      <c r="J188" s="7"/>
      <c r="K188" s="7">
        <v>6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>
        <f t="shared" si="4"/>
        <v>6</v>
      </c>
      <c r="W188" s="7">
        <f t="shared" si="5"/>
        <v>6</v>
      </c>
    </row>
    <row r="189" spans="1:23" ht="18.75" x14ac:dyDescent="0.3">
      <c r="A189" s="4">
        <v>188</v>
      </c>
      <c r="B189" s="7" t="s">
        <v>368</v>
      </c>
      <c r="C189" s="9" t="s">
        <v>369</v>
      </c>
      <c r="D189" s="8">
        <v>24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>
        <v>6</v>
      </c>
      <c r="Q189" s="7">
        <v>6</v>
      </c>
      <c r="R189" s="7"/>
      <c r="S189" s="7"/>
      <c r="T189" s="7"/>
      <c r="U189" s="7"/>
      <c r="V189" s="7">
        <f t="shared" si="4"/>
        <v>12</v>
      </c>
      <c r="W189" s="7">
        <f t="shared" si="5"/>
        <v>12</v>
      </c>
    </row>
    <row r="190" spans="1:23" ht="18.75" x14ac:dyDescent="0.3">
      <c r="A190" s="4">
        <v>189</v>
      </c>
      <c r="B190" s="7" t="s">
        <v>370</v>
      </c>
      <c r="C190" s="9" t="s">
        <v>371</v>
      </c>
      <c r="D190" s="8">
        <v>36</v>
      </c>
      <c r="E190" s="7"/>
      <c r="F190" s="7"/>
      <c r="G190" s="7"/>
      <c r="H190" s="7">
        <v>24</v>
      </c>
      <c r="I190" s="7"/>
      <c r="J190" s="7"/>
      <c r="K190" s="7"/>
      <c r="L190" s="7"/>
      <c r="M190" s="7"/>
      <c r="N190" s="7"/>
      <c r="O190" s="7"/>
      <c r="P190" s="7">
        <v>12</v>
      </c>
      <c r="Q190" s="7"/>
      <c r="R190" s="7"/>
      <c r="S190" s="7"/>
      <c r="T190" s="7"/>
      <c r="U190" s="7"/>
      <c r="V190" s="7">
        <f t="shared" si="4"/>
        <v>36</v>
      </c>
      <c r="W190" s="7">
        <f t="shared" si="5"/>
        <v>0</v>
      </c>
    </row>
    <row r="191" spans="1:23" ht="18.75" x14ac:dyDescent="0.3">
      <c r="A191" s="4">
        <v>190</v>
      </c>
      <c r="B191" s="7" t="s">
        <v>372</v>
      </c>
      <c r="C191" s="9" t="s">
        <v>373</v>
      </c>
      <c r="D191" s="8">
        <v>346</v>
      </c>
      <c r="E191" s="7"/>
      <c r="F191" s="7"/>
      <c r="G191" s="7"/>
      <c r="H191" s="7">
        <v>117</v>
      </c>
      <c r="I191" s="7"/>
      <c r="J191" s="7"/>
      <c r="K191" s="7">
        <v>62</v>
      </c>
      <c r="L191" s="7"/>
      <c r="M191" s="7"/>
      <c r="N191" s="7"/>
      <c r="O191" s="7"/>
      <c r="P191" s="7">
        <v>24</v>
      </c>
      <c r="Q191" s="7">
        <v>20</v>
      </c>
      <c r="R191" s="7"/>
      <c r="S191" s="7"/>
      <c r="T191" s="7"/>
      <c r="U191" s="7"/>
      <c r="V191" s="7">
        <f t="shared" si="4"/>
        <v>223</v>
      </c>
      <c r="W191" s="7">
        <f t="shared" si="5"/>
        <v>123</v>
      </c>
    </row>
    <row r="192" spans="1:23" ht="18.75" x14ac:dyDescent="0.3">
      <c r="A192" s="4">
        <v>191</v>
      </c>
      <c r="B192" s="7" t="s">
        <v>374</v>
      </c>
      <c r="C192" s="9" t="s">
        <v>375</v>
      </c>
      <c r="D192" s="8">
        <v>12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>
        <f t="shared" si="4"/>
        <v>0</v>
      </c>
      <c r="W192" s="7">
        <f t="shared" si="5"/>
        <v>12</v>
      </c>
    </row>
    <row r="193" spans="1:23" ht="18.75" x14ac:dyDescent="0.3">
      <c r="A193" s="4">
        <v>192</v>
      </c>
      <c r="B193" s="7" t="s">
        <v>376</v>
      </c>
      <c r="C193" s="9" t="s">
        <v>377</v>
      </c>
      <c r="D193" s="8">
        <v>12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>
        <f t="shared" si="4"/>
        <v>0</v>
      </c>
      <c r="W193" s="7">
        <f t="shared" si="5"/>
        <v>12</v>
      </c>
    </row>
    <row r="194" spans="1:23" ht="18.75" x14ac:dyDescent="0.3">
      <c r="A194" s="4">
        <v>193</v>
      </c>
      <c r="B194" s="7" t="s">
        <v>378</v>
      </c>
      <c r="C194" s="9" t="s">
        <v>379</v>
      </c>
      <c r="D194" s="8">
        <v>1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>
        <f t="shared" si="4"/>
        <v>0</v>
      </c>
      <c r="W194" s="7">
        <f t="shared" si="5"/>
        <v>1</v>
      </c>
    </row>
    <row r="195" spans="1:23" ht="18.75" x14ac:dyDescent="0.3">
      <c r="A195" s="4">
        <v>194</v>
      </c>
      <c r="B195" s="7" t="s">
        <v>380</v>
      </c>
      <c r="C195" s="9" t="s">
        <v>381</v>
      </c>
      <c r="D195" s="8">
        <v>11</v>
      </c>
      <c r="E195" s="7"/>
      <c r="F195" s="7"/>
      <c r="G195" s="7"/>
      <c r="H195" s="7">
        <v>1</v>
      </c>
      <c r="I195" s="7"/>
      <c r="J195" s="7"/>
      <c r="K195" s="7"/>
      <c r="L195" s="7"/>
      <c r="M195" s="7"/>
      <c r="N195" s="7"/>
      <c r="O195" s="7"/>
      <c r="P195" s="7">
        <v>2</v>
      </c>
      <c r="Q195" s="7"/>
      <c r="R195" s="7"/>
      <c r="S195" s="7"/>
      <c r="T195" s="7"/>
      <c r="U195" s="7"/>
      <c r="V195" s="7">
        <f t="shared" ref="V195:V258" si="6">SUM(E195:U195)</f>
        <v>3</v>
      </c>
      <c r="W195" s="7">
        <f t="shared" ref="W195:W258" si="7">D195-V195</f>
        <v>8</v>
      </c>
    </row>
    <row r="196" spans="1:23" ht="18.75" x14ac:dyDescent="0.3">
      <c r="A196" s="4">
        <v>195</v>
      </c>
      <c r="B196" s="7" t="s">
        <v>382</v>
      </c>
      <c r="C196" s="9" t="s">
        <v>383</v>
      </c>
      <c r="D196" s="8">
        <v>12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>
        <f t="shared" si="6"/>
        <v>0</v>
      </c>
      <c r="W196" s="7">
        <f t="shared" si="7"/>
        <v>12</v>
      </c>
    </row>
    <row r="197" spans="1:23" ht="18.75" x14ac:dyDescent="0.3">
      <c r="A197" s="4">
        <v>196</v>
      </c>
      <c r="B197" s="7" t="s">
        <v>384</v>
      </c>
      <c r="C197" s="9" t="s">
        <v>385</v>
      </c>
      <c r="D197" s="8">
        <v>12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>
        <f t="shared" si="6"/>
        <v>0</v>
      </c>
      <c r="W197" s="7">
        <f t="shared" si="7"/>
        <v>12</v>
      </c>
    </row>
    <row r="198" spans="1:23" ht="18.75" x14ac:dyDescent="0.3">
      <c r="A198" s="4">
        <v>197</v>
      </c>
      <c r="B198" s="7" t="s">
        <v>386</v>
      </c>
      <c r="C198" s="9" t="s">
        <v>383</v>
      </c>
      <c r="D198" s="8">
        <v>12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>
        <f t="shared" si="6"/>
        <v>0</v>
      </c>
      <c r="W198" s="7">
        <f t="shared" si="7"/>
        <v>12</v>
      </c>
    </row>
    <row r="199" spans="1:23" ht="18.75" x14ac:dyDescent="0.3">
      <c r="A199" s="4">
        <v>198</v>
      </c>
      <c r="B199" s="7" t="s">
        <v>387</v>
      </c>
      <c r="C199" s="9" t="s">
        <v>388</v>
      </c>
      <c r="D199" s="8">
        <v>3</v>
      </c>
      <c r="E199" s="7"/>
      <c r="F199" s="7">
        <v>3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>
        <f t="shared" si="6"/>
        <v>3</v>
      </c>
      <c r="W199" s="7">
        <f t="shared" si="7"/>
        <v>0</v>
      </c>
    </row>
    <row r="200" spans="1:23" ht="18.75" x14ac:dyDescent="0.3">
      <c r="A200" s="4">
        <v>199</v>
      </c>
      <c r="B200" s="7" t="s">
        <v>389</v>
      </c>
      <c r="C200" s="9" t="s">
        <v>390</v>
      </c>
      <c r="D200" s="8">
        <v>12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>
        <v>4</v>
      </c>
      <c r="V200" s="7">
        <f t="shared" si="6"/>
        <v>4</v>
      </c>
      <c r="W200" s="7">
        <f t="shared" si="7"/>
        <v>8</v>
      </c>
    </row>
    <row r="201" spans="1:23" ht="18.75" x14ac:dyDescent="0.3">
      <c r="A201" s="4">
        <v>200</v>
      </c>
      <c r="B201" s="7" t="s">
        <v>391</v>
      </c>
      <c r="C201" s="9" t="s">
        <v>392</v>
      </c>
      <c r="D201" s="8">
        <v>12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>
        <f t="shared" si="6"/>
        <v>0</v>
      </c>
      <c r="W201" s="7">
        <f t="shared" si="7"/>
        <v>12</v>
      </c>
    </row>
    <row r="202" spans="1:23" ht="18.75" x14ac:dyDescent="0.3">
      <c r="A202" s="4">
        <v>201</v>
      </c>
      <c r="B202" s="7" t="s">
        <v>393</v>
      </c>
      <c r="C202" s="9" t="s">
        <v>394</v>
      </c>
      <c r="D202" s="8">
        <v>12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>
        <f t="shared" si="6"/>
        <v>0</v>
      </c>
      <c r="W202" s="7">
        <f t="shared" si="7"/>
        <v>12</v>
      </c>
    </row>
    <row r="203" spans="1:23" ht="18.75" x14ac:dyDescent="0.3">
      <c r="A203" s="4">
        <v>202</v>
      </c>
      <c r="B203" s="7" t="s">
        <v>395</v>
      </c>
      <c r="C203" s="9" t="s">
        <v>392</v>
      </c>
      <c r="D203" s="8">
        <v>24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>
        <v>6</v>
      </c>
      <c r="Q203" s="7"/>
      <c r="R203" s="7"/>
      <c r="S203" s="7"/>
      <c r="T203" s="7"/>
      <c r="U203" s="7"/>
      <c r="V203" s="7">
        <f t="shared" si="6"/>
        <v>6</v>
      </c>
      <c r="W203" s="7">
        <f t="shared" si="7"/>
        <v>18</v>
      </c>
    </row>
    <row r="204" spans="1:23" ht="18.75" x14ac:dyDescent="0.3">
      <c r="A204" s="4">
        <v>203</v>
      </c>
      <c r="B204" s="7" t="s">
        <v>396</v>
      </c>
      <c r="C204" s="9" t="s">
        <v>394</v>
      </c>
      <c r="D204" s="8">
        <v>24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>
        <v>6</v>
      </c>
      <c r="Q204" s="7"/>
      <c r="R204" s="7"/>
      <c r="S204" s="7"/>
      <c r="T204" s="7"/>
      <c r="U204" s="7"/>
      <c r="V204" s="7">
        <f t="shared" si="6"/>
        <v>6</v>
      </c>
      <c r="W204" s="7">
        <f t="shared" si="7"/>
        <v>18</v>
      </c>
    </row>
    <row r="205" spans="1:23" ht="18.75" x14ac:dyDescent="0.3">
      <c r="A205" s="4">
        <v>204</v>
      </c>
      <c r="B205" s="7" t="s">
        <v>397</v>
      </c>
      <c r="C205" s="9" t="s">
        <v>388</v>
      </c>
      <c r="D205" s="8">
        <v>3</v>
      </c>
      <c r="E205" s="7"/>
      <c r="F205" s="7">
        <v>1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>
        <f t="shared" si="6"/>
        <v>1</v>
      </c>
      <c r="W205" s="7">
        <f t="shared" si="7"/>
        <v>2</v>
      </c>
    </row>
    <row r="206" spans="1:23" ht="18.75" x14ac:dyDescent="0.3">
      <c r="A206" s="4">
        <v>205</v>
      </c>
      <c r="B206" s="7" t="s">
        <v>398</v>
      </c>
      <c r="C206" s="9" t="s">
        <v>399</v>
      </c>
      <c r="D206" s="8">
        <v>100</v>
      </c>
      <c r="E206" s="7"/>
      <c r="F206" s="7"/>
      <c r="G206" s="7"/>
      <c r="H206" s="7">
        <v>13</v>
      </c>
      <c r="I206" s="7"/>
      <c r="J206" s="7"/>
      <c r="K206" s="7"/>
      <c r="L206" s="7"/>
      <c r="M206" s="7"/>
      <c r="N206" s="7"/>
      <c r="O206" s="7">
        <v>5</v>
      </c>
      <c r="P206" s="7">
        <v>4</v>
      </c>
      <c r="Q206" s="7">
        <v>2</v>
      </c>
      <c r="R206" s="7"/>
      <c r="S206" s="7"/>
      <c r="T206" s="7"/>
      <c r="U206" s="7">
        <v>1</v>
      </c>
      <c r="V206" s="7">
        <f t="shared" si="6"/>
        <v>25</v>
      </c>
      <c r="W206" s="10">
        <f t="shared" si="7"/>
        <v>75</v>
      </c>
    </row>
    <row r="207" spans="1:23" ht="18.75" x14ac:dyDescent="0.3">
      <c r="A207" s="4">
        <v>206</v>
      </c>
      <c r="B207" s="7" t="s">
        <v>400</v>
      </c>
      <c r="C207" s="9" t="s">
        <v>401</v>
      </c>
      <c r="D207" s="8">
        <v>25</v>
      </c>
      <c r="E207" s="7"/>
      <c r="F207" s="7"/>
      <c r="G207" s="7"/>
      <c r="H207" s="7">
        <v>1</v>
      </c>
      <c r="I207" s="7"/>
      <c r="J207" s="7"/>
      <c r="K207" s="7"/>
      <c r="L207" s="7"/>
      <c r="M207" s="7"/>
      <c r="N207" s="7"/>
      <c r="O207" s="7"/>
      <c r="P207" s="7">
        <v>4</v>
      </c>
      <c r="Q207" s="7"/>
      <c r="R207" s="7"/>
      <c r="S207" s="7"/>
      <c r="T207" s="7"/>
      <c r="U207" s="7">
        <v>1</v>
      </c>
      <c r="V207" s="7">
        <f t="shared" si="6"/>
        <v>6</v>
      </c>
      <c r="W207" s="7">
        <f t="shared" si="7"/>
        <v>19</v>
      </c>
    </row>
    <row r="208" spans="1:23" ht="18.75" x14ac:dyDescent="0.3">
      <c r="A208" s="4">
        <v>207</v>
      </c>
      <c r="B208" s="7" t="s">
        <v>402</v>
      </c>
      <c r="C208" s="9" t="s">
        <v>403</v>
      </c>
      <c r="D208" s="8">
        <v>424</v>
      </c>
      <c r="E208" s="7">
        <v>10</v>
      </c>
      <c r="F208" s="7">
        <v>84</v>
      </c>
      <c r="G208" s="7">
        <v>34</v>
      </c>
      <c r="H208" s="7"/>
      <c r="I208" s="7">
        <v>10</v>
      </c>
      <c r="J208" s="7">
        <v>15</v>
      </c>
      <c r="K208" s="7">
        <v>20</v>
      </c>
      <c r="L208" s="7"/>
      <c r="M208" s="7"/>
      <c r="N208" s="7">
        <v>57</v>
      </c>
      <c r="O208" s="7"/>
      <c r="P208" s="7"/>
      <c r="Q208" s="7"/>
      <c r="R208" s="7"/>
      <c r="S208" s="7"/>
      <c r="T208" s="7"/>
      <c r="U208" s="7"/>
      <c r="V208" s="7">
        <f t="shared" si="6"/>
        <v>230</v>
      </c>
      <c r="W208" s="7">
        <f t="shared" si="7"/>
        <v>194</v>
      </c>
    </row>
    <row r="209" spans="1:23" ht="18.75" x14ac:dyDescent="0.3">
      <c r="A209" s="4">
        <v>208</v>
      </c>
      <c r="B209" s="7" t="s">
        <v>404</v>
      </c>
      <c r="C209" s="9" t="s">
        <v>405</v>
      </c>
      <c r="D209" s="8">
        <v>52</v>
      </c>
      <c r="E209" s="7">
        <v>5</v>
      </c>
      <c r="F209" s="7"/>
      <c r="G209" s="7">
        <v>5</v>
      </c>
      <c r="H209" s="7">
        <v>9</v>
      </c>
      <c r="I209" s="7"/>
      <c r="J209" s="7"/>
      <c r="K209" s="7">
        <v>13</v>
      </c>
      <c r="L209" s="7"/>
      <c r="M209" s="7"/>
      <c r="N209" s="7"/>
      <c r="O209" s="7"/>
      <c r="P209" s="7">
        <v>3</v>
      </c>
      <c r="Q209" s="7">
        <v>3</v>
      </c>
      <c r="R209" s="7"/>
      <c r="S209" s="7"/>
      <c r="T209" s="7"/>
      <c r="U209" s="7">
        <v>1</v>
      </c>
      <c r="V209" s="7">
        <f t="shared" si="6"/>
        <v>39</v>
      </c>
      <c r="W209" s="7">
        <f t="shared" si="7"/>
        <v>13</v>
      </c>
    </row>
    <row r="210" spans="1:23" ht="18.75" x14ac:dyDescent="0.3">
      <c r="A210" s="4">
        <v>209</v>
      </c>
      <c r="B210" s="7" t="s">
        <v>406</v>
      </c>
      <c r="C210" s="9" t="s">
        <v>407</v>
      </c>
      <c r="D210" s="8">
        <v>50</v>
      </c>
      <c r="E210" s="7"/>
      <c r="F210" s="7"/>
      <c r="G210" s="7"/>
      <c r="H210" s="7">
        <v>1</v>
      </c>
      <c r="I210" s="7"/>
      <c r="J210" s="7">
        <v>2</v>
      </c>
      <c r="K210" s="7">
        <v>11</v>
      </c>
      <c r="L210" s="7"/>
      <c r="M210" s="7"/>
      <c r="N210" s="7"/>
      <c r="O210" s="7"/>
      <c r="P210" s="7">
        <v>1</v>
      </c>
      <c r="Q210" s="7">
        <v>1</v>
      </c>
      <c r="R210" s="7"/>
      <c r="S210" s="7"/>
      <c r="T210" s="7"/>
      <c r="U210" s="7"/>
      <c r="V210" s="7">
        <f t="shared" si="6"/>
        <v>16</v>
      </c>
      <c r="W210" s="7">
        <f t="shared" si="7"/>
        <v>34</v>
      </c>
    </row>
    <row r="211" spans="1:23" ht="18.75" x14ac:dyDescent="0.3">
      <c r="A211" s="4">
        <v>210</v>
      </c>
      <c r="B211" s="7" t="s">
        <v>408</v>
      </c>
      <c r="C211" s="9" t="s">
        <v>409</v>
      </c>
      <c r="D211" s="8">
        <v>100</v>
      </c>
      <c r="E211" s="7"/>
      <c r="F211" s="7"/>
      <c r="G211" s="7"/>
      <c r="H211" s="7">
        <v>4</v>
      </c>
      <c r="I211" s="7"/>
      <c r="J211" s="7"/>
      <c r="K211" s="7"/>
      <c r="L211" s="7"/>
      <c r="M211" s="7"/>
      <c r="N211" s="7"/>
      <c r="O211" s="7">
        <v>2</v>
      </c>
      <c r="P211" s="7">
        <v>4</v>
      </c>
      <c r="Q211" s="7">
        <v>6</v>
      </c>
      <c r="R211" s="7"/>
      <c r="S211" s="7"/>
      <c r="T211" s="7"/>
      <c r="U211" s="7"/>
      <c r="V211" s="7">
        <f t="shared" si="6"/>
        <v>16</v>
      </c>
      <c r="W211" s="7">
        <f t="shared" si="7"/>
        <v>84</v>
      </c>
    </row>
    <row r="212" spans="1:23" ht="18.75" x14ac:dyDescent="0.3">
      <c r="A212" s="4">
        <v>211</v>
      </c>
      <c r="B212" s="7" t="s">
        <v>410</v>
      </c>
      <c r="C212" s="9" t="s">
        <v>411</v>
      </c>
      <c r="D212" s="8">
        <v>26</v>
      </c>
      <c r="E212" s="7"/>
      <c r="F212" s="7"/>
      <c r="G212" s="7"/>
      <c r="H212" s="7">
        <v>1</v>
      </c>
      <c r="I212" s="7"/>
      <c r="J212" s="7"/>
      <c r="K212" s="7">
        <v>3</v>
      </c>
      <c r="L212" s="7"/>
      <c r="M212" s="7"/>
      <c r="N212" s="7"/>
      <c r="O212" s="7">
        <v>1</v>
      </c>
      <c r="P212" s="7">
        <v>3</v>
      </c>
      <c r="Q212" s="7">
        <v>3</v>
      </c>
      <c r="R212" s="7"/>
      <c r="S212" s="7"/>
      <c r="T212" s="7"/>
      <c r="U212" s="7"/>
      <c r="V212" s="7">
        <f t="shared" si="6"/>
        <v>11</v>
      </c>
      <c r="W212" s="7">
        <f t="shared" si="7"/>
        <v>15</v>
      </c>
    </row>
    <row r="213" spans="1:23" ht="18.75" x14ac:dyDescent="0.3">
      <c r="A213" s="4">
        <v>212</v>
      </c>
      <c r="B213" s="7" t="s">
        <v>412</v>
      </c>
      <c r="C213" s="9" t="s">
        <v>413</v>
      </c>
      <c r="D213" s="8">
        <v>255</v>
      </c>
      <c r="E213" s="7"/>
      <c r="F213" s="7"/>
      <c r="G213" s="7"/>
      <c r="H213" s="7">
        <v>86</v>
      </c>
      <c r="I213" s="7"/>
      <c r="J213" s="7"/>
      <c r="K213" s="7">
        <v>20</v>
      </c>
      <c r="L213" s="7"/>
      <c r="M213" s="7"/>
      <c r="N213" s="7"/>
      <c r="O213" s="7"/>
      <c r="P213" s="7">
        <v>18</v>
      </c>
      <c r="Q213" s="7">
        <v>50</v>
      </c>
      <c r="R213" s="7"/>
      <c r="S213" s="7"/>
      <c r="T213" s="7"/>
      <c r="U213" s="7"/>
      <c r="V213" s="7">
        <f t="shared" si="6"/>
        <v>174</v>
      </c>
      <c r="W213" s="7">
        <f t="shared" si="7"/>
        <v>81</v>
      </c>
    </row>
    <row r="214" spans="1:23" ht="18.75" x14ac:dyDescent="0.3">
      <c r="A214" s="4">
        <v>213</v>
      </c>
      <c r="B214" s="7" t="s">
        <v>414</v>
      </c>
      <c r="C214" s="9" t="s">
        <v>415</v>
      </c>
      <c r="D214" s="8">
        <v>365</v>
      </c>
      <c r="E214" s="7">
        <v>13</v>
      </c>
      <c r="F214" s="7"/>
      <c r="G214" s="7"/>
      <c r="H214" s="7">
        <v>76</v>
      </c>
      <c r="I214" s="7"/>
      <c r="J214" s="7"/>
      <c r="K214" s="7">
        <v>50</v>
      </c>
      <c r="L214" s="7"/>
      <c r="M214" s="7"/>
      <c r="N214" s="7"/>
      <c r="O214" s="7"/>
      <c r="P214" s="7">
        <v>40</v>
      </c>
      <c r="Q214" s="7">
        <v>50</v>
      </c>
      <c r="R214" s="7"/>
      <c r="S214" s="7"/>
      <c r="T214" s="7"/>
      <c r="U214" s="7"/>
      <c r="V214" s="7">
        <f t="shared" si="6"/>
        <v>229</v>
      </c>
      <c r="W214" s="7">
        <f t="shared" si="7"/>
        <v>136</v>
      </c>
    </row>
    <row r="215" spans="1:23" ht="18.75" x14ac:dyDescent="0.3">
      <c r="A215" s="4">
        <v>214</v>
      </c>
      <c r="B215" s="7" t="s">
        <v>416</v>
      </c>
      <c r="C215" s="9" t="s">
        <v>417</v>
      </c>
      <c r="D215" s="8">
        <v>490</v>
      </c>
      <c r="E215" s="7">
        <v>16</v>
      </c>
      <c r="F215" s="7"/>
      <c r="G215" s="7"/>
      <c r="H215" s="7">
        <v>90</v>
      </c>
      <c r="I215" s="7"/>
      <c r="J215" s="7"/>
      <c r="K215" s="7">
        <v>50</v>
      </c>
      <c r="L215" s="7"/>
      <c r="M215" s="7"/>
      <c r="N215" s="7"/>
      <c r="O215" s="7"/>
      <c r="P215" s="7">
        <v>50</v>
      </c>
      <c r="Q215" s="7">
        <v>50</v>
      </c>
      <c r="R215" s="7"/>
      <c r="S215" s="7"/>
      <c r="T215" s="7"/>
      <c r="U215" s="7"/>
      <c r="V215" s="7">
        <f t="shared" si="6"/>
        <v>256</v>
      </c>
      <c r="W215" s="7">
        <f t="shared" si="7"/>
        <v>234</v>
      </c>
    </row>
    <row r="216" spans="1:23" ht="18.75" x14ac:dyDescent="0.3">
      <c r="A216" s="4">
        <v>215</v>
      </c>
      <c r="B216" s="7" t="s">
        <v>418</v>
      </c>
      <c r="C216" s="9" t="s">
        <v>419</v>
      </c>
      <c r="D216" s="8">
        <v>72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>
        <v>12</v>
      </c>
      <c r="Q216" s="7"/>
      <c r="R216" s="7"/>
      <c r="S216" s="7"/>
      <c r="T216" s="7"/>
      <c r="U216" s="7"/>
      <c r="V216" s="7">
        <f t="shared" si="6"/>
        <v>12</v>
      </c>
      <c r="W216" s="7">
        <f t="shared" si="7"/>
        <v>60</v>
      </c>
    </row>
    <row r="217" spans="1:23" ht="18.75" x14ac:dyDescent="0.3">
      <c r="A217" s="4">
        <v>216</v>
      </c>
      <c r="B217" s="7" t="s">
        <v>420</v>
      </c>
      <c r="C217" s="9" t="s">
        <v>421</v>
      </c>
      <c r="D217" s="8">
        <v>72</v>
      </c>
      <c r="E217" s="7"/>
      <c r="F217" s="7"/>
      <c r="G217" s="7"/>
      <c r="H217" s="7"/>
      <c r="I217" s="7"/>
      <c r="J217" s="7"/>
      <c r="K217" s="7">
        <v>7</v>
      </c>
      <c r="L217" s="7"/>
      <c r="M217" s="7"/>
      <c r="N217" s="7"/>
      <c r="O217" s="7"/>
      <c r="P217" s="7">
        <v>22</v>
      </c>
      <c r="Q217" s="7"/>
      <c r="R217" s="7"/>
      <c r="S217" s="7"/>
      <c r="T217" s="7"/>
      <c r="U217" s="7"/>
      <c r="V217" s="7">
        <f t="shared" si="6"/>
        <v>29</v>
      </c>
      <c r="W217" s="7">
        <f t="shared" si="7"/>
        <v>43</v>
      </c>
    </row>
    <row r="218" spans="1:23" ht="18.75" x14ac:dyDescent="0.3">
      <c r="A218" s="4">
        <v>217</v>
      </c>
      <c r="B218" s="7" t="s">
        <v>422</v>
      </c>
      <c r="C218" s="9" t="s">
        <v>423</v>
      </c>
      <c r="D218" s="8">
        <v>72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>
        <f t="shared" si="6"/>
        <v>0</v>
      </c>
      <c r="W218" s="7">
        <f t="shared" si="7"/>
        <v>72</v>
      </c>
    </row>
    <row r="219" spans="1:23" ht="18.75" x14ac:dyDescent="0.3">
      <c r="A219" s="4">
        <v>218</v>
      </c>
      <c r="B219" s="7" t="s">
        <v>424</v>
      </c>
      <c r="C219" s="9" t="s">
        <v>425</v>
      </c>
      <c r="D219" s="8">
        <v>118</v>
      </c>
      <c r="E219" s="7"/>
      <c r="F219" s="7"/>
      <c r="G219" s="7"/>
      <c r="H219" s="7">
        <v>30</v>
      </c>
      <c r="I219" s="7"/>
      <c r="J219" s="7"/>
      <c r="K219" s="7">
        <v>31</v>
      </c>
      <c r="L219" s="7"/>
      <c r="M219" s="7"/>
      <c r="N219" s="7"/>
      <c r="O219" s="7"/>
      <c r="P219" s="7">
        <v>24</v>
      </c>
      <c r="Q219" s="7"/>
      <c r="R219" s="7"/>
      <c r="S219" s="7"/>
      <c r="T219" s="7"/>
      <c r="U219" s="7"/>
      <c r="V219" s="7">
        <f t="shared" si="6"/>
        <v>85</v>
      </c>
      <c r="W219" s="7">
        <f t="shared" si="7"/>
        <v>33</v>
      </c>
    </row>
    <row r="220" spans="1:23" ht="18.75" x14ac:dyDescent="0.3">
      <c r="A220" s="4">
        <v>219</v>
      </c>
      <c r="B220" s="7" t="s">
        <v>426</v>
      </c>
      <c r="C220" s="9" t="s">
        <v>427</v>
      </c>
      <c r="D220" s="8">
        <v>612</v>
      </c>
      <c r="E220" s="7">
        <v>45</v>
      </c>
      <c r="F220" s="7"/>
      <c r="G220" s="7"/>
      <c r="H220" s="7">
        <v>50</v>
      </c>
      <c r="I220" s="7"/>
      <c r="J220" s="7"/>
      <c r="K220" s="7">
        <v>50</v>
      </c>
      <c r="L220" s="7"/>
      <c r="M220" s="7"/>
      <c r="N220" s="7"/>
      <c r="O220" s="7"/>
      <c r="P220" s="7">
        <v>62</v>
      </c>
      <c r="Q220" s="7">
        <v>50</v>
      </c>
      <c r="R220" s="7"/>
      <c r="S220" s="7"/>
      <c r="T220" s="7"/>
      <c r="U220" s="7">
        <v>14</v>
      </c>
      <c r="V220" s="7">
        <f t="shared" si="6"/>
        <v>271</v>
      </c>
      <c r="W220" s="7">
        <f t="shared" si="7"/>
        <v>341</v>
      </c>
    </row>
    <row r="221" spans="1:23" ht="18.75" x14ac:dyDescent="0.3">
      <c r="A221" s="4">
        <v>220</v>
      </c>
      <c r="B221" s="7" t="s">
        <v>428</v>
      </c>
      <c r="C221" s="9" t="s">
        <v>429</v>
      </c>
      <c r="D221" s="8">
        <v>204</v>
      </c>
      <c r="E221" s="7"/>
      <c r="F221" s="7"/>
      <c r="G221" s="7"/>
      <c r="H221" s="7">
        <v>72</v>
      </c>
      <c r="I221" s="7"/>
      <c r="J221" s="7"/>
      <c r="K221" s="7">
        <v>56</v>
      </c>
      <c r="L221" s="7"/>
      <c r="M221" s="7"/>
      <c r="N221" s="7"/>
      <c r="O221" s="7"/>
      <c r="P221" s="7">
        <v>48</v>
      </c>
      <c r="Q221" s="7">
        <v>20</v>
      </c>
      <c r="R221" s="7"/>
      <c r="S221" s="7"/>
      <c r="T221" s="7"/>
      <c r="U221" s="7"/>
      <c r="V221" s="7">
        <f t="shared" si="6"/>
        <v>196</v>
      </c>
      <c r="W221" s="7">
        <f t="shared" si="7"/>
        <v>8</v>
      </c>
    </row>
    <row r="222" spans="1:23" ht="18.75" x14ac:dyDescent="0.3">
      <c r="A222" s="4">
        <v>221</v>
      </c>
      <c r="B222" s="7" t="s">
        <v>430</v>
      </c>
      <c r="C222" s="9" t="s">
        <v>431</v>
      </c>
      <c r="D222" s="8">
        <v>50</v>
      </c>
      <c r="E222" s="7">
        <v>1</v>
      </c>
      <c r="F222" s="7"/>
      <c r="G222" s="7"/>
      <c r="H222" s="7">
        <v>2</v>
      </c>
      <c r="I222" s="7"/>
      <c r="J222" s="7"/>
      <c r="K222" s="7"/>
      <c r="L222" s="7"/>
      <c r="M222" s="7"/>
      <c r="N222" s="7"/>
      <c r="O222" s="7">
        <v>1</v>
      </c>
      <c r="P222" s="7">
        <v>1</v>
      </c>
      <c r="Q222" s="7">
        <v>1</v>
      </c>
      <c r="R222" s="7"/>
      <c r="S222" s="7"/>
      <c r="T222" s="7"/>
      <c r="U222" s="7"/>
      <c r="V222" s="7">
        <f t="shared" si="6"/>
        <v>6</v>
      </c>
      <c r="W222" s="7">
        <f t="shared" si="7"/>
        <v>44</v>
      </c>
    </row>
    <row r="223" spans="1:23" ht="18.75" x14ac:dyDescent="0.3">
      <c r="A223" s="4">
        <v>222</v>
      </c>
      <c r="B223" s="7" t="s">
        <v>432</v>
      </c>
      <c r="C223" s="9" t="s">
        <v>433</v>
      </c>
      <c r="D223" s="8">
        <v>16</v>
      </c>
      <c r="E223" s="7">
        <v>1</v>
      </c>
      <c r="F223" s="7"/>
      <c r="G223" s="7"/>
      <c r="H223" s="7">
        <v>3</v>
      </c>
      <c r="I223" s="7"/>
      <c r="J223" s="7"/>
      <c r="K223" s="7"/>
      <c r="L223" s="7"/>
      <c r="M223" s="7"/>
      <c r="N223" s="7"/>
      <c r="O223" s="7">
        <v>1</v>
      </c>
      <c r="P223" s="7">
        <v>1</v>
      </c>
      <c r="Q223" s="7">
        <v>2</v>
      </c>
      <c r="R223" s="7"/>
      <c r="S223" s="7"/>
      <c r="T223" s="7"/>
      <c r="U223" s="7"/>
      <c r="V223" s="7">
        <f t="shared" si="6"/>
        <v>8</v>
      </c>
      <c r="W223" s="7">
        <f t="shared" si="7"/>
        <v>8</v>
      </c>
    </row>
    <row r="224" spans="1:23" ht="18.75" x14ac:dyDescent="0.3">
      <c r="A224" s="4">
        <v>223</v>
      </c>
      <c r="B224" s="7" t="s">
        <v>434</v>
      </c>
      <c r="C224" s="9" t="s">
        <v>435</v>
      </c>
      <c r="D224" s="8">
        <v>91</v>
      </c>
      <c r="E224" s="7">
        <v>1</v>
      </c>
      <c r="F224" s="7"/>
      <c r="G224" s="7"/>
      <c r="H224" s="7">
        <v>2</v>
      </c>
      <c r="I224" s="7"/>
      <c r="J224" s="7">
        <v>2</v>
      </c>
      <c r="K224" s="7">
        <v>2</v>
      </c>
      <c r="L224" s="7"/>
      <c r="M224" s="7"/>
      <c r="N224" s="7"/>
      <c r="O224" s="7">
        <v>3</v>
      </c>
      <c r="P224" s="7">
        <v>1</v>
      </c>
      <c r="Q224" s="7">
        <v>1</v>
      </c>
      <c r="R224" s="7"/>
      <c r="S224" s="7"/>
      <c r="T224" s="7"/>
      <c r="U224" s="7"/>
      <c r="V224" s="7">
        <f t="shared" si="6"/>
        <v>12</v>
      </c>
      <c r="W224" s="7">
        <f t="shared" si="7"/>
        <v>79</v>
      </c>
    </row>
    <row r="225" spans="1:23" ht="18.75" x14ac:dyDescent="0.3">
      <c r="A225" s="4">
        <v>224</v>
      </c>
      <c r="B225" s="11" t="s">
        <v>436</v>
      </c>
      <c r="C225" s="12" t="s">
        <v>437</v>
      </c>
      <c r="D225" s="8">
        <v>12</v>
      </c>
      <c r="E225" s="7">
        <v>1</v>
      </c>
      <c r="F225" s="7"/>
      <c r="G225" s="7"/>
      <c r="H225" s="7">
        <v>6</v>
      </c>
      <c r="I225" s="7"/>
      <c r="J225" s="7"/>
      <c r="K225" s="7"/>
      <c r="L225" s="7"/>
      <c r="M225" s="7"/>
      <c r="N225" s="7"/>
      <c r="O225" s="7"/>
      <c r="P225" s="7">
        <v>3</v>
      </c>
      <c r="Q225" s="7"/>
      <c r="R225" s="7"/>
      <c r="S225" s="7"/>
      <c r="T225" s="7"/>
      <c r="U225" s="7">
        <v>2</v>
      </c>
      <c r="V225" s="7">
        <f t="shared" si="6"/>
        <v>12</v>
      </c>
      <c r="W225" s="7">
        <f t="shared" si="7"/>
        <v>0</v>
      </c>
    </row>
    <row r="226" spans="1:23" ht="18.75" x14ac:dyDescent="0.3">
      <c r="A226" s="4">
        <v>225</v>
      </c>
      <c r="B226" s="7" t="s">
        <v>438</v>
      </c>
      <c r="C226" s="9" t="s">
        <v>439</v>
      </c>
      <c r="D226" s="8">
        <v>12</v>
      </c>
      <c r="E226" s="7">
        <v>1</v>
      </c>
      <c r="F226" s="7"/>
      <c r="G226" s="7"/>
      <c r="H226" s="7"/>
      <c r="I226" s="7"/>
      <c r="J226" s="7"/>
      <c r="K226" s="7">
        <v>1</v>
      </c>
      <c r="L226" s="7"/>
      <c r="M226" s="7"/>
      <c r="N226" s="7"/>
      <c r="O226" s="7"/>
      <c r="P226" s="7">
        <v>3</v>
      </c>
      <c r="Q226" s="7"/>
      <c r="R226" s="7"/>
      <c r="S226" s="7"/>
      <c r="T226" s="7"/>
      <c r="U226" s="7"/>
      <c r="V226" s="7">
        <f t="shared" si="6"/>
        <v>5</v>
      </c>
      <c r="W226" s="7">
        <f t="shared" si="7"/>
        <v>7</v>
      </c>
    </row>
    <row r="227" spans="1:23" ht="18.75" x14ac:dyDescent="0.3">
      <c r="A227" s="4">
        <v>226</v>
      </c>
      <c r="B227" s="7" t="s">
        <v>440</v>
      </c>
      <c r="C227" s="9" t="s">
        <v>441</v>
      </c>
      <c r="D227" s="8">
        <v>12</v>
      </c>
      <c r="E227" s="7">
        <v>1</v>
      </c>
      <c r="F227" s="7"/>
      <c r="G227" s="7"/>
      <c r="H227" s="7">
        <v>4</v>
      </c>
      <c r="I227" s="7"/>
      <c r="J227" s="7"/>
      <c r="K227" s="7"/>
      <c r="L227" s="7"/>
      <c r="M227" s="7"/>
      <c r="N227" s="7"/>
      <c r="O227" s="7"/>
      <c r="P227" s="7">
        <v>2</v>
      </c>
      <c r="Q227" s="7">
        <v>6</v>
      </c>
      <c r="R227" s="7"/>
      <c r="S227" s="7"/>
      <c r="T227" s="7"/>
      <c r="U227" s="7"/>
      <c r="V227" s="7">
        <f t="shared" si="6"/>
        <v>13</v>
      </c>
      <c r="W227" s="7">
        <f t="shared" si="7"/>
        <v>-1</v>
      </c>
    </row>
    <row r="228" spans="1:23" ht="18.75" x14ac:dyDescent="0.3">
      <c r="A228" s="4">
        <v>227</v>
      </c>
      <c r="B228" s="7" t="s">
        <v>442</v>
      </c>
      <c r="C228" s="9" t="s">
        <v>443</v>
      </c>
      <c r="D228" s="8">
        <v>12</v>
      </c>
      <c r="E228" s="7">
        <v>1</v>
      </c>
      <c r="F228" s="7"/>
      <c r="G228" s="7"/>
      <c r="H228" s="7">
        <v>5</v>
      </c>
      <c r="I228" s="7"/>
      <c r="J228" s="7"/>
      <c r="K228" s="7"/>
      <c r="L228" s="7"/>
      <c r="M228" s="7"/>
      <c r="N228" s="7"/>
      <c r="O228" s="7"/>
      <c r="P228" s="7">
        <v>5</v>
      </c>
      <c r="Q228" s="7"/>
      <c r="R228" s="7"/>
      <c r="S228" s="7"/>
      <c r="T228" s="7"/>
      <c r="U228" s="7"/>
      <c r="V228" s="7">
        <f t="shared" si="6"/>
        <v>11</v>
      </c>
      <c r="W228" s="7">
        <f t="shared" si="7"/>
        <v>1</v>
      </c>
    </row>
    <row r="229" spans="1:23" ht="18.75" x14ac:dyDescent="0.3">
      <c r="A229" s="4">
        <v>228</v>
      </c>
      <c r="B229" s="7" t="s">
        <v>444</v>
      </c>
      <c r="C229" s="9" t="s">
        <v>445</v>
      </c>
      <c r="D229" s="8">
        <v>24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>
        <f t="shared" si="6"/>
        <v>0</v>
      </c>
      <c r="W229" s="7">
        <f t="shared" si="7"/>
        <v>24</v>
      </c>
    </row>
    <row r="230" spans="1:23" ht="18.75" x14ac:dyDescent="0.3">
      <c r="A230" s="4">
        <v>229</v>
      </c>
      <c r="B230" s="7" t="s">
        <v>446</v>
      </c>
      <c r="C230" s="9" t="s">
        <v>447</v>
      </c>
      <c r="D230" s="8">
        <v>24</v>
      </c>
      <c r="E230" s="7"/>
      <c r="F230" s="7"/>
      <c r="G230" s="7"/>
      <c r="H230" s="7">
        <v>6</v>
      </c>
      <c r="I230" s="7"/>
      <c r="J230" s="7"/>
      <c r="K230" s="7"/>
      <c r="L230" s="7"/>
      <c r="M230" s="7"/>
      <c r="N230" s="7"/>
      <c r="O230" s="7"/>
      <c r="P230" s="7">
        <v>6</v>
      </c>
      <c r="Q230" s="7"/>
      <c r="R230" s="7"/>
      <c r="S230" s="7"/>
      <c r="T230" s="7"/>
      <c r="U230" s="7"/>
      <c r="V230" s="7">
        <f t="shared" si="6"/>
        <v>12</v>
      </c>
      <c r="W230" s="7">
        <f t="shared" si="7"/>
        <v>12</v>
      </c>
    </row>
    <row r="231" spans="1:23" ht="18.75" x14ac:dyDescent="0.3">
      <c r="A231" s="4">
        <v>230</v>
      </c>
      <c r="B231" s="7" t="s">
        <v>448</v>
      </c>
      <c r="C231" s="9" t="s">
        <v>449</v>
      </c>
      <c r="D231" s="8">
        <v>24</v>
      </c>
      <c r="E231" s="7">
        <v>6</v>
      </c>
      <c r="F231" s="7"/>
      <c r="G231" s="7"/>
      <c r="H231" s="7">
        <v>8</v>
      </c>
      <c r="I231" s="7"/>
      <c r="J231" s="7"/>
      <c r="K231" s="7"/>
      <c r="L231" s="7"/>
      <c r="M231" s="7"/>
      <c r="N231" s="7"/>
      <c r="O231" s="7"/>
      <c r="P231" s="7">
        <v>10</v>
      </c>
      <c r="Q231" s="7"/>
      <c r="R231" s="7"/>
      <c r="S231" s="7"/>
      <c r="T231" s="7"/>
      <c r="U231" s="7"/>
      <c r="V231" s="7">
        <f t="shared" si="6"/>
        <v>24</v>
      </c>
      <c r="W231" s="7">
        <f t="shared" si="7"/>
        <v>0</v>
      </c>
    </row>
    <row r="232" spans="1:23" ht="18.75" x14ac:dyDescent="0.3">
      <c r="A232" s="4">
        <v>231</v>
      </c>
      <c r="B232" s="7" t="s">
        <v>450</v>
      </c>
      <c r="C232" s="9" t="s">
        <v>449</v>
      </c>
      <c r="D232" s="8">
        <v>48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>
        <v>12</v>
      </c>
      <c r="Q232" s="7"/>
      <c r="R232" s="7"/>
      <c r="S232" s="7"/>
      <c r="T232" s="7"/>
      <c r="U232" s="7"/>
      <c r="V232" s="7">
        <f t="shared" si="6"/>
        <v>12</v>
      </c>
      <c r="W232" s="7">
        <f t="shared" si="7"/>
        <v>36</v>
      </c>
    </row>
    <row r="233" spans="1:23" ht="18.75" x14ac:dyDescent="0.3">
      <c r="A233" s="4">
        <v>232</v>
      </c>
      <c r="B233" s="7" t="s">
        <v>451</v>
      </c>
      <c r="C233" s="9" t="s">
        <v>452</v>
      </c>
      <c r="D233" s="8">
        <v>12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>
        <f t="shared" si="6"/>
        <v>0</v>
      </c>
      <c r="W233" s="7">
        <f t="shared" si="7"/>
        <v>12</v>
      </c>
    </row>
    <row r="234" spans="1:23" ht="18.75" x14ac:dyDescent="0.3">
      <c r="A234" s="4">
        <v>233</v>
      </c>
      <c r="B234" s="7" t="s">
        <v>453</v>
      </c>
      <c r="C234" s="9" t="s">
        <v>454</v>
      </c>
      <c r="D234" s="8">
        <v>12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>
        <v>6</v>
      </c>
      <c r="Q234" s="7"/>
      <c r="R234" s="7"/>
      <c r="S234" s="7"/>
      <c r="T234" s="7"/>
      <c r="U234" s="7"/>
      <c r="V234" s="7">
        <f t="shared" si="6"/>
        <v>6</v>
      </c>
      <c r="W234" s="7">
        <f t="shared" si="7"/>
        <v>6</v>
      </c>
    </row>
    <row r="235" spans="1:23" ht="18.75" x14ac:dyDescent="0.3">
      <c r="A235" s="4">
        <v>234</v>
      </c>
      <c r="B235" s="7" t="s">
        <v>455</v>
      </c>
      <c r="C235" s="9" t="s">
        <v>456</v>
      </c>
      <c r="D235" s="8">
        <v>24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>
        <f t="shared" si="6"/>
        <v>0</v>
      </c>
      <c r="W235" s="7">
        <f t="shared" si="7"/>
        <v>24</v>
      </c>
    </row>
    <row r="236" spans="1:23" ht="18.75" x14ac:dyDescent="0.3">
      <c r="A236" s="4">
        <v>235</v>
      </c>
      <c r="B236" s="7" t="s">
        <v>455</v>
      </c>
      <c r="C236" s="9" t="s">
        <v>456</v>
      </c>
      <c r="D236" s="8">
        <v>312</v>
      </c>
      <c r="E236" s="7"/>
      <c r="F236" s="7">
        <v>84</v>
      </c>
      <c r="G236" s="7">
        <v>225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>
        <f t="shared" si="6"/>
        <v>309</v>
      </c>
      <c r="W236" s="7">
        <f t="shared" si="7"/>
        <v>3</v>
      </c>
    </row>
    <row r="237" spans="1:23" ht="18.75" x14ac:dyDescent="0.3">
      <c r="A237" s="4">
        <v>236</v>
      </c>
      <c r="B237" s="7" t="s">
        <v>457</v>
      </c>
      <c r="C237" s="9" t="s">
        <v>458</v>
      </c>
      <c r="D237" s="8">
        <v>12</v>
      </c>
      <c r="E237" s="7">
        <v>3</v>
      </c>
      <c r="F237" s="7"/>
      <c r="G237" s="7"/>
      <c r="H237" s="7"/>
      <c r="I237" s="7"/>
      <c r="J237" s="7"/>
      <c r="K237" s="7">
        <v>2</v>
      </c>
      <c r="L237" s="7"/>
      <c r="M237" s="7"/>
      <c r="N237" s="7"/>
      <c r="O237" s="7"/>
      <c r="P237" s="7">
        <v>4</v>
      </c>
      <c r="Q237" s="7"/>
      <c r="R237" s="7"/>
      <c r="S237" s="7"/>
      <c r="T237" s="7"/>
      <c r="U237" s="7"/>
      <c r="V237" s="7">
        <f t="shared" si="6"/>
        <v>9</v>
      </c>
      <c r="W237" s="7">
        <f t="shared" si="7"/>
        <v>3</v>
      </c>
    </row>
    <row r="238" spans="1:23" ht="18.75" x14ac:dyDescent="0.3">
      <c r="A238" s="4">
        <v>237</v>
      </c>
      <c r="B238" s="7" t="s">
        <v>459</v>
      </c>
      <c r="C238" s="9" t="s">
        <v>460</v>
      </c>
      <c r="D238" s="8">
        <v>24</v>
      </c>
      <c r="E238" s="7"/>
      <c r="F238" s="7"/>
      <c r="G238" s="7"/>
      <c r="H238" s="7">
        <v>6</v>
      </c>
      <c r="I238" s="7"/>
      <c r="J238" s="7"/>
      <c r="K238" s="7">
        <v>6</v>
      </c>
      <c r="L238" s="7"/>
      <c r="M238" s="7"/>
      <c r="N238" s="7"/>
      <c r="O238" s="7"/>
      <c r="P238" s="7">
        <v>6</v>
      </c>
      <c r="Q238" s="7"/>
      <c r="R238" s="7"/>
      <c r="S238" s="7"/>
      <c r="T238" s="7"/>
      <c r="U238" s="7"/>
      <c r="V238" s="7">
        <f t="shared" si="6"/>
        <v>18</v>
      </c>
      <c r="W238" s="7">
        <f t="shared" si="7"/>
        <v>6</v>
      </c>
    </row>
    <row r="239" spans="1:23" ht="18.75" x14ac:dyDescent="0.3">
      <c r="A239" s="4">
        <v>238</v>
      </c>
      <c r="B239" s="7" t="s">
        <v>461</v>
      </c>
      <c r="C239" s="9" t="s">
        <v>460</v>
      </c>
      <c r="D239" s="8">
        <v>12</v>
      </c>
      <c r="E239" s="7">
        <v>10</v>
      </c>
      <c r="F239" s="7"/>
      <c r="G239" s="7"/>
      <c r="H239" s="7"/>
      <c r="I239" s="7"/>
      <c r="J239" s="7"/>
      <c r="K239" s="7"/>
      <c r="L239" s="7">
        <v>2</v>
      </c>
      <c r="M239" s="7"/>
      <c r="N239" s="7"/>
      <c r="O239" s="7"/>
      <c r="P239" s="7"/>
      <c r="Q239" s="7"/>
      <c r="R239" s="7"/>
      <c r="S239" s="7"/>
      <c r="T239" s="7"/>
      <c r="U239" s="7"/>
      <c r="V239" s="7">
        <f t="shared" si="6"/>
        <v>12</v>
      </c>
      <c r="W239" s="7">
        <f t="shared" si="7"/>
        <v>0</v>
      </c>
    </row>
    <row r="240" spans="1:23" ht="18.75" x14ac:dyDescent="0.3">
      <c r="A240" s="4">
        <v>239</v>
      </c>
      <c r="B240" s="7" t="s">
        <v>462</v>
      </c>
      <c r="C240" s="9" t="s">
        <v>463</v>
      </c>
      <c r="D240" s="8">
        <v>24</v>
      </c>
      <c r="E240" s="7">
        <v>5</v>
      </c>
      <c r="F240" s="7"/>
      <c r="G240" s="7"/>
      <c r="H240" s="7"/>
      <c r="I240" s="7"/>
      <c r="J240" s="7"/>
      <c r="K240" s="7">
        <v>2</v>
      </c>
      <c r="L240" s="7"/>
      <c r="M240" s="7">
        <v>2</v>
      </c>
      <c r="N240" s="7"/>
      <c r="O240" s="7"/>
      <c r="P240" s="7"/>
      <c r="Q240" s="7"/>
      <c r="R240" s="7"/>
      <c r="S240" s="7"/>
      <c r="T240" s="7"/>
      <c r="U240" s="7"/>
      <c r="V240" s="7">
        <f t="shared" si="6"/>
        <v>9</v>
      </c>
      <c r="W240" s="7">
        <f t="shared" si="7"/>
        <v>15</v>
      </c>
    </row>
    <row r="241" spans="1:23" ht="18.75" x14ac:dyDescent="0.3">
      <c r="A241" s="4">
        <v>240</v>
      </c>
      <c r="B241" s="7" t="s">
        <v>464</v>
      </c>
      <c r="C241" s="9" t="s">
        <v>465</v>
      </c>
      <c r="D241" s="8">
        <v>24</v>
      </c>
      <c r="E241" s="7">
        <v>5</v>
      </c>
      <c r="F241" s="7"/>
      <c r="G241" s="7"/>
      <c r="H241" s="7"/>
      <c r="I241" s="7"/>
      <c r="J241" s="7"/>
      <c r="K241" s="7"/>
      <c r="L241" s="7">
        <v>2</v>
      </c>
      <c r="M241" s="7"/>
      <c r="N241" s="7"/>
      <c r="O241" s="7"/>
      <c r="P241" s="7">
        <v>5</v>
      </c>
      <c r="Q241" s="7"/>
      <c r="R241" s="7"/>
      <c r="S241" s="7"/>
      <c r="T241" s="7"/>
      <c r="U241" s="7"/>
      <c r="V241" s="7">
        <f t="shared" si="6"/>
        <v>12</v>
      </c>
      <c r="W241" s="7">
        <f t="shared" si="7"/>
        <v>12</v>
      </c>
    </row>
    <row r="242" spans="1:23" ht="18.75" x14ac:dyDescent="0.3">
      <c r="A242" s="4">
        <v>241</v>
      </c>
      <c r="B242" s="7" t="s">
        <v>466</v>
      </c>
      <c r="C242" s="9" t="s">
        <v>467</v>
      </c>
      <c r="D242" s="8">
        <v>36</v>
      </c>
      <c r="E242" s="7">
        <v>4</v>
      </c>
      <c r="F242" s="7"/>
      <c r="G242" s="7"/>
      <c r="H242" s="7">
        <v>10</v>
      </c>
      <c r="I242" s="7"/>
      <c r="J242" s="7"/>
      <c r="K242" s="7">
        <v>2</v>
      </c>
      <c r="L242" s="7"/>
      <c r="M242" s="7"/>
      <c r="N242" s="7"/>
      <c r="O242" s="7"/>
      <c r="P242" s="7">
        <v>10</v>
      </c>
      <c r="Q242" s="7">
        <v>5</v>
      </c>
      <c r="R242" s="7"/>
      <c r="S242" s="7">
        <v>5</v>
      </c>
      <c r="T242" s="7"/>
      <c r="U242" s="7"/>
      <c r="V242" s="7">
        <f t="shared" si="6"/>
        <v>36</v>
      </c>
      <c r="W242" s="7">
        <f t="shared" si="7"/>
        <v>0</v>
      </c>
    </row>
    <row r="243" spans="1:23" ht="18.75" x14ac:dyDescent="0.3">
      <c r="A243" s="4">
        <v>242</v>
      </c>
      <c r="B243" s="7" t="s">
        <v>468</v>
      </c>
      <c r="C243" s="9" t="s">
        <v>469</v>
      </c>
      <c r="D243" s="8">
        <v>12</v>
      </c>
      <c r="E243" s="7">
        <v>3</v>
      </c>
      <c r="F243" s="7"/>
      <c r="G243" s="7"/>
      <c r="H243" s="7"/>
      <c r="I243" s="7"/>
      <c r="J243" s="7"/>
      <c r="K243" s="7">
        <v>2</v>
      </c>
      <c r="L243" s="7"/>
      <c r="M243" s="7"/>
      <c r="N243" s="7"/>
      <c r="O243" s="7"/>
      <c r="P243" s="7">
        <v>6</v>
      </c>
      <c r="Q243" s="7"/>
      <c r="R243" s="7"/>
      <c r="S243" s="7"/>
      <c r="T243" s="7"/>
      <c r="U243" s="7"/>
      <c r="V243" s="7">
        <f t="shared" si="6"/>
        <v>11</v>
      </c>
      <c r="W243" s="7">
        <f t="shared" si="7"/>
        <v>1</v>
      </c>
    </row>
    <row r="244" spans="1:23" ht="18.75" x14ac:dyDescent="0.3">
      <c r="A244" s="4">
        <v>243</v>
      </c>
      <c r="B244" s="7" t="s">
        <v>470</v>
      </c>
      <c r="C244" s="9" t="s">
        <v>471</v>
      </c>
      <c r="D244" s="8">
        <v>12</v>
      </c>
      <c r="E244" s="7">
        <v>2</v>
      </c>
      <c r="F244" s="7"/>
      <c r="G244" s="7"/>
      <c r="H244" s="7">
        <v>3</v>
      </c>
      <c r="I244" s="7"/>
      <c r="J244" s="7"/>
      <c r="K244" s="7"/>
      <c r="L244" s="7"/>
      <c r="M244" s="7"/>
      <c r="N244" s="7"/>
      <c r="O244" s="7"/>
      <c r="P244" s="7">
        <v>2</v>
      </c>
      <c r="Q244" s="7"/>
      <c r="R244" s="7"/>
      <c r="S244" s="7"/>
      <c r="T244" s="7"/>
      <c r="U244" s="7"/>
      <c r="V244" s="7">
        <f t="shared" si="6"/>
        <v>7</v>
      </c>
      <c r="W244" s="7">
        <f t="shared" si="7"/>
        <v>5</v>
      </c>
    </row>
    <row r="245" spans="1:23" ht="18.75" x14ac:dyDescent="0.3">
      <c r="A245" s="4">
        <v>244</v>
      </c>
      <c r="B245" s="7" t="s">
        <v>472</v>
      </c>
      <c r="C245" s="9" t="s">
        <v>473</v>
      </c>
      <c r="D245" s="8">
        <v>12</v>
      </c>
      <c r="E245" s="7"/>
      <c r="F245" s="7"/>
      <c r="G245" s="7"/>
      <c r="H245" s="7">
        <v>4</v>
      </c>
      <c r="I245" s="7"/>
      <c r="J245" s="7"/>
      <c r="K245" s="7">
        <v>2</v>
      </c>
      <c r="L245" s="7"/>
      <c r="M245" s="7"/>
      <c r="N245" s="7"/>
      <c r="O245" s="7"/>
      <c r="P245" s="7">
        <v>6</v>
      </c>
      <c r="Q245" s="7"/>
      <c r="R245" s="7"/>
      <c r="S245" s="7"/>
      <c r="T245" s="7"/>
      <c r="U245" s="7"/>
      <c r="V245" s="7">
        <f t="shared" si="6"/>
        <v>12</v>
      </c>
      <c r="W245" s="7">
        <f t="shared" si="7"/>
        <v>0</v>
      </c>
    </row>
    <row r="246" spans="1:23" ht="18.75" x14ac:dyDescent="0.3">
      <c r="A246" s="4">
        <v>245</v>
      </c>
      <c r="B246" s="7" t="s">
        <v>474</v>
      </c>
      <c r="C246" s="9" t="s">
        <v>475</v>
      </c>
      <c r="D246" s="8">
        <v>12</v>
      </c>
      <c r="E246" s="7">
        <v>2</v>
      </c>
      <c r="F246" s="7"/>
      <c r="G246" s="7"/>
      <c r="H246" s="7"/>
      <c r="I246" s="7"/>
      <c r="J246" s="7"/>
      <c r="K246" s="7"/>
      <c r="L246" s="7"/>
      <c r="M246" s="7">
        <v>3</v>
      </c>
      <c r="N246" s="7"/>
      <c r="O246" s="7"/>
      <c r="P246" s="7">
        <v>2</v>
      </c>
      <c r="Q246" s="7"/>
      <c r="R246" s="7"/>
      <c r="S246" s="7"/>
      <c r="T246" s="7"/>
      <c r="U246" s="7"/>
      <c r="V246" s="7">
        <f t="shared" si="6"/>
        <v>7</v>
      </c>
      <c r="W246" s="7">
        <f t="shared" si="7"/>
        <v>5</v>
      </c>
    </row>
    <row r="247" spans="1:23" ht="18.75" x14ac:dyDescent="0.3">
      <c r="A247" s="4">
        <v>246</v>
      </c>
      <c r="B247" s="7" t="s">
        <v>476</v>
      </c>
      <c r="C247" s="9" t="s">
        <v>477</v>
      </c>
      <c r="D247" s="8">
        <v>24</v>
      </c>
      <c r="E247" s="7">
        <v>8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>
        <v>6</v>
      </c>
      <c r="Q247" s="7">
        <v>5</v>
      </c>
      <c r="R247" s="7"/>
      <c r="S247" s="7"/>
      <c r="T247" s="7"/>
      <c r="U247" s="7"/>
      <c r="V247" s="7">
        <f t="shared" si="6"/>
        <v>19</v>
      </c>
      <c r="W247" s="7">
        <f t="shared" si="7"/>
        <v>5</v>
      </c>
    </row>
    <row r="248" spans="1:23" ht="18.75" x14ac:dyDescent="0.3">
      <c r="A248" s="4">
        <v>247</v>
      </c>
      <c r="B248" s="7" t="s">
        <v>478</v>
      </c>
      <c r="C248" s="9" t="s">
        <v>479</v>
      </c>
      <c r="D248" s="8">
        <v>24</v>
      </c>
      <c r="E248" s="7">
        <v>5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>
        <v>18</v>
      </c>
      <c r="Q248" s="7"/>
      <c r="R248" s="7"/>
      <c r="S248" s="7"/>
      <c r="T248" s="7"/>
      <c r="U248" s="7"/>
      <c r="V248" s="7">
        <f t="shared" si="6"/>
        <v>23</v>
      </c>
      <c r="W248" s="7">
        <f t="shared" si="7"/>
        <v>1</v>
      </c>
    </row>
    <row r="249" spans="1:23" ht="18.75" x14ac:dyDescent="0.3">
      <c r="A249" s="4">
        <v>248</v>
      </c>
      <c r="B249" s="7" t="s">
        <v>480</v>
      </c>
      <c r="C249" s="9" t="s">
        <v>481</v>
      </c>
      <c r="D249" s="8">
        <v>24</v>
      </c>
      <c r="E249" s="7">
        <v>4</v>
      </c>
      <c r="F249" s="7"/>
      <c r="G249" s="7"/>
      <c r="H249" s="7">
        <v>6</v>
      </c>
      <c r="I249" s="7"/>
      <c r="J249" s="7"/>
      <c r="K249" s="7"/>
      <c r="L249" s="7"/>
      <c r="M249" s="7"/>
      <c r="N249" s="7"/>
      <c r="O249" s="7"/>
      <c r="P249" s="7">
        <v>6</v>
      </c>
      <c r="Q249" s="7">
        <v>6</v>
      </c>
      <c r="R249" s="7"/>
      <c r="S249" s="7"/>
      <c r="T249" s="7"/>
      <c r="U249" s="7">
        <v>1</v>
      </c>
      <c r="V249" s="7">
        <f t="shared" si="6"/>
        <v>23</v>
      </c>
      <c r="W249" s="7">
        <f t="shared" si="7"/>
        <v>1</v>
      </c>
    </row>
    <row r="250" spans="1:23" ht="18.75" x14ac:dyDescent="0.3">
      <c r="A250" s="4">
        <v>249</v>
      </c>
      <c r="B250" s="7" t="s">
        <v>482</v>
      </c>
      <c r="C250" s="9" t="s">
        <v>483</v>
      </c>
      <c r="D250" s="8">
        <v>12</v>
      </c>
      <c r="E250" s="7">
        <v>2</v>
      </c>
      <c r="F250" s="7"/>
      <c r="G250" s="7"/>
      <c r="H250" s="7">
        <v>4</v>
      </c>
      <c r="I250" s="7"/>
      <c r="J250" s="7"/>
      <c r="K250" s="7">
        <v>2</v>
      </c>
      <c r="L250" s="7"/>
      <c r="M250" s="7"/>
      <c r="N250" s="7"/>
      <c r="O250" s="7"/>
      <c r="P250" s="7">
        <v>4</v>
      </c>
      <c r="Q250" s="7"/>
      <c r="R250" s="7"/>
      <c r="S250" s="7"/>
      <c r="T250" s="7"/>
      <c r="U250" s="7"/>
      <c r="V250" s="7">
        <f t="shared" si="6"/>
        <v>12</v>
      </c>
      <c r="W250" s="7">
        <f t="shared" si="7"/>
        <v>0</v>
      </c>
    </row>
    <row r="251" spans="1:23" ht="18.75" x14ac:dyDescent="0.3">
      <c r="A251" s="4">
        <v>250</v>
      </c>
      <c r="B251" s="7" t="s">
        <v>484</v>
      </c>
      <c r="C251" s="9" t="s">
        <v>485</v>
      </c>
      <c r="D251" s="8">
        <v>60</v>
      </c>
      <c r="E251" s="7"/>
      <c r="F251" s="7"/>
      <c r="G251" s="7"/>
      <c r="H251" s="7">
        <v>6</v>
      </c>
      <c r="I251" s="7"/>
      <c r="J251" s="7"/>
      <c r="K251" s="7">
        <v>3</v>
      </c>
      <c r="L251" s="7"/>
      <c r="M251" s="7"/>
      <c r="N251" s="7"/>
      <c r="O251" s="7"/>
      <c r="P251" s="7" t="s">
        <v>811</v>
      </c>
      <c r="Q251" s="7"/>
      <c r="R251" s="7"/>
      <c r="S251" s="7"/>
      <c r="T251" s="7"/>
      <c r="U251" s="7">
        <v>1</v>
      </c>
      <c r="V251" s="7">
        <f t="shared" si="6"/>
        <v>10</v>
      </c>
      <c r="W251" s="7">
        <f t="shared" si="7"/>
        <v>50</v>
      </c>
    </row>
    <row r="252" spans="1:23" ht="18.75" x14ac:dyDescent="0.3">
      <c r="A252" s="4">
        <v>251</v>
      </c>
      <c r="B252" s="7" t="s">
        <v>486</v>
      </c>
      <c r="C252" s="9" t="s">
        <v>487</v>
      </c>
      <c r="D252" s="8">
        <v>12</v>
      </c>
      <c r="E252" s="7"/>
      <c r="F252" s="7"/>
      <c r="G252" s="7"/>
      <c r="H252" s="7">
        <v>5</v>
      </c>
      <c r="I252" s="7"/>
      <c r="J252" s="7"/>
      <c r="K252" s="7"/>
      <c r="L252" s="7"/>
      <c r="M252" s="7"/>
      <c r="N252" s="7"/>
      <c r="O252" s="7"/>
      <c r="P252" s="7">
        <v>6</v>
      </c>
      <c r="Q252" s="7"/>
      <c r="R252" s="7"/>
      <c r="S252" s="7"/>
      <c r="T252" s="7"/>
      <c r="U252" s="7"/>
      <c r="V252" s="7">
        <f t="shared" si="6"/>
        <v>11</v>
      </c>
      <c r="W252" s="7">
        <f t="shared" si="7"/>
        <v>1</v>
      </c>
    </row>
    <row r="253" spans="1:23" ht="18.75" x14ac:dyDescent="0.3">
      <c r="A253" s="4">
        <v>252</v>
      </c>
      <c r="B253" s="7" t="s">
        <v>488</v>
      </c>
      <c r="C253" s="9" t="s">
        <v>489</v>
      </c>
      <c r="D253" s="8">
        <v>12</v>
      </c>
      <c r="E253" s="7"/>
      <c r="F253" s="7"/>
      <c r="G253" s="7"/>
      <c r="H253" s="7">
        <v>6</v>
      </c>
      <c r="I253" s="7"/>
      <c r="J253" s="7"/>
      <c r="K253" s="7"/>
      <c r="L253" s="7"/>
      <c r="M253" s="7"/>
      <c r="N253" s="7"/>
      <c r="O253" s="7"/>
      <c r="P253" s="7">
        <v>6</v>
      </c>
      <c r="Q253" s="7"/>
      <c r="R253" s="7"/>
      <c r="S253" s="7"/>
      <c r="T253" s="7"/>
      <c r="U253" s="7"/>
      <c r="V253" s="7">
        <f t="shared" si="6"/>
        <v>12</v>
      </c>
      <c r="W253" s="7">
        <f t="shared" si="7"/>
        <v>0</v>
      </c>
    </row>
    <row r="254" spans="1:23" ht="18.75" x14ac:dyDescent="0.3">
      <c r="A254" s="4">
        <v>253</v>
      </c>
      <c r="B254" s="7" t="s">
        <v>490</v>
      </c>
      <c r="C254" s="9" t="s">
        <v>491</v>
      </c>
      <c r="D254" s="8">
        <v>12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>
        <v>12</v>
      </c>
      <c r="Q254" s="7"/>
      <c r="R254" s="7"/>
      <c r="S254" s="7"/>
      <c r="T254" s="7"/>
      <c r="U254" s="7"/>
      <c r="V254" s="7">
        <f t="shared" si="6"/>
        <v>12</v>
      </c>
      <c r="W254" s="7">
        <f t="shared" si="7"/>
        <v>0</v>
      </c>
    </row>
    <row r="255" spans="1:23" ht="18.75" x14ac:dyDescent="0.3">
      <c r="A255" s="4">
        <v>254</v>
      </c>
      <c r="B255" s="7" t="s">
        <v>492</v>
      </c>
      <c r="C255" s="9" t="s">
        <v>493</v>
      </c>
      <c r="D255" s="8">
        <v>1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>
        <f t="shared" si="6"/>
        <v>0</v>
      </c>
      <c r="W255" s="7">
        <f t="shared" si="7"/>
        <v>1</v>
      </c>
    </row>
    <row r="256" spans="1:23" ht="18.75" x14ac:dyDescent="0.3">
      <c r="A256" s="4">
        <v>255</v>
      </c>
      <c r="B256" s="7" t="s">
        <v>492</v>
      </c>
      <c r="C256" s="9" t="s">
        <v>494</v>
      </c>
      <c r="D256" s="8">
        <v>1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>
        <f t="shared" si="6"/>
        <v>0</v>
      </c>
      <c r="W256" s="7">
        <f t="shared" si="7"/>
        <v>1</v>
      </c>
    </row>
    <row r="257" spans="1:23" ht="18.75" x14ac:dyDescent="0.3">
      <c r="A257" s="4">
        <v>256</v>
      </c>
      <c r="B257" s="7" t="s">
        <v>495</v>
      </c>
      <c r="C257" s="9" t="s">
        <v>496</v>
      </c>
      <c r="D257" s="8">
        <v>3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>
        <f t="shared" si="6"/>
        <v>0</v>
      </c>
      <c r="W257" s="7">
        <f t="shared" si="7"/>
        <v>3</v>
      </c>
    </row>
    <row r="258" spans="1:23" ht="18.75" x14ac:dyDescent="0.3">
      <c r="A258" s="4">
        <v>257</v>
      </c>
      <c r="B258" s="7" t="s">
        <v>497</v>
      </c>
      <c r="C258" s="9" t="s">
        <v>498</v>
      </c>
      <c r="D258" s="8">
        <v>3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>
        <f t="shared" si="6"/>
        <v>0</v>
      </c>
      <c r="W258" s="7">
        <f t="shared" si="7"/>
        <v>3</v>
      </c>
    </row>
    <row r="259" spans="1:23" ht="18.75" x14ac:dyDescent="0.3">
      <c r="A259" s="4">
        <v>258</v>
      </c>
      <c r="B259" s="7" t="s">
        <v>499</v>
      </c>
      <c r="C259" s="9" t="s">
        <v>500</v>
      </c>
      <c r="D259" s="8">
        <v>12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>
        <f t="shared" ref="V259:V322" si="8">SUM(E259:U259)</f>
        <v>0</v>
      </c>
      <c r="W259" s="7">
        <f t="shared" ref="W259:W322" si="9">D259-V259</f>
        <v>12</v>
      </c>
    </row>
    <row r="260" spans="1:23" ht="18.75" x14ac:dyDescent="0.3">
      <c r="A260" s="4">
        <v>259</v>
      </c>
      <c r="B260" s="7" t="s">
        <v>501</v>
      </c>
      <c r="C260" s="9" t="s">
        <v>502</v>
      </c>
      <c r="D260" s="8">
        <v>42</v>
      </c>
      <c r="E260" s="7"/>
      <c r="F260" s="7"/>
      <c r="G260" s="7"/>
      <c r="H260" s="7"/>
      <c r="I260" s="7"/>
      <c r="J260" s="7">
        <v>7</v>
      </c>
      <c r="K260" s="7">
        <v>14</v>
      </c>
      <c r="L260" s="7"/>
      <c r="M260" s="7"/>
      <c r="N260" s="7"/>
      <c r="O260" s="7"/>
      <c r="P260" s="7">
        <v>6</v>
      </c>
      <c r="Q260" s="7"/>
      <c r="R260" s="7"/>
      <c r="S260" s="7"/>
      <c r="T260" s="7"/>
      <c r="U260" s="7"/>
      <c r="V260" s="7">
        <f t="shared" si="8"/>
        <v>27</v>
      </c>
      <c r="W260" s="7">
        <f t="shared" si="9"/>
        <v>15</v>
      </c>
    </row>
    <row r="261" spans="1:23" ht="18.75" x14ac:dyDescent="0.3">
      <c r="A261" s="4">
        <v>260</v>
      </c>
      <c r="B261" s="7" t="s">
        <v>503</v>
      </c>
      <c r="C261" s="9" t="s">
        <v>504</v>
      </c>
      <c r="D261" s="8">
        <v>14</v>
      </c>
      <c r="E261" s="7"/>
      <c r="F261" s="7"/>
      <c r="G261" s="7"/>
      <c r="H261" s="7"/>
      <c r="I261" s="7"/>
      <c r="J261" s="7">
        <v>7</v>
      </c>
      <c r="K261" s="7">
        <v>7</v>
      </c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>
        <f t="shared" si="8"/>
        <v>14</v>
      </c>
      <c r="W261" s="7">
        <f t="shared" si="9"/>
        <v>0</v>
      </c>
    </row>
    <row r="262" spans="1:23" ht="18.75" x14ac:dyDescent="0.3">
      <c r="A262" s="4">
        <v>261</v>
      </c>
      <c r="B262" s="7" t="s">
        <v>505</v>
      </c>
      <c r="C262" s="9" t="s">
        <v>506</v>
      </c>
      <c r="D262" s="8">
        <v>21</v>
      </c>
      <c r="E262" s="7"/>
      <c r="F262" s="7"/>
      <c r="G262" s="7"/>
      <c r="H262" s="7"/>
      <c r="I262" s="7"/>
      <c r="J262" s="7">
        <v>10</v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>
        <f t="shared" si="8"/>
        <v>10</v>
      </c>
      <c r="W262" s="7">
        <f t="shared" si="9"/>
        <v>11</v>
      </c>
    </row>
    <row r="263" spans="1:23" ht="18.75" x14ac:dyDescent="0.3">
      <c r="A263" s="4">
        <v>262</v>
      </c>
      <c r="B263" s="7" t="s">
        <v>507</v>
      </c>
      <c r="C263" s="9" t="s">
        <v>508</v>
      </c>
      <c r="D263" s="8">
        <v>30</v>
      </c>
      <c r="E263" s="7"/>
      <c r="F263" s="7"/>
      <c r="G263" s="7"/>
      <c r="H263" s="7"/>
      <c r="I263" s="7"/>
      <c r="J263" s="7">
        <v>7</v>
      </c>
      <c r="K263" s="7"/>
      <c r="L263" s="7"/>
      <c r="M263" s="7"/>
      <c r="N263" s="7"/>
      <c r="O263" s="7"/>
      <c r="P263" s="7"/>
      <c r="Q263" s="7">
        <v>15</v>
      </c>
      <c r="R263" s="7"/>
      <c r="S263" s="7"/>
      <c r="T263" s="7"/>
      <c r="U263" s="7"/>
      <c r="V263" s="7">
        <f t="shared" si="8"/>
        <v>22</v>
      </c>
      <c r="W263" s="7">
        <f t="shared" si="9"/>
        <v>8</v>
      </c>
    </row>
    <row r="264" spans="1:23" ht="18.75" x14ac:dyDescent="0.3">
      <c r="A264" s="4">
        <v>263</v>
      </c>
      <c r="B264" s="7" t="s">
        <v>509</v>
      </c>
      <c r="C264" s="9" t="s">
        <v>510</v>
      </c>
      <c r="D264" s="8">
        <v>48</v>
      </c>
      <c r="E264" s="7"/>
      <c r="F264" s="7"/>
      <c r="G264" s="7"/>
      <c r="H264" s="7"/>
      <c r="I264" s="7"/>
      <c r="J264" s="7">
        <v>8</v>
      </c>
      <c r="K264" s="7"/>
      <c r="L264" s="7"/>
      <c r="M264" s="7"/>
      <c r="N264" s="7"/>
      <c r="O264" s="7"/>
      <c r="P264" s="7">
        <v>16</v>
      </c>
      <c r="Q264" s="7">
        <v>16</v>
      </c>
      <c r="R264" s="7"/>
      <c r="S264" s="7"/>
      <c r="T264" s="7"/>
      <c r="U264" s="7"/>
      <c r="V264" s="7">
        <f t="shared" si="8"/>
        <v>40</v>
      </c>
      <c r="W264" s="7">
        <f t="shared" si="9"/>
        <v>8</v>
      </c>
    </row>
    <row r="265" spans="1:23" ht="18.75" x14ac:dyDescent="0.3">
      <c r="A265" s="4">
        <v>264</v>
      </c>
      <c r="B265" s="7" t="s">
        <v>511</v>
      </c>
      <c r="C265" s="9" t="s">
        <v>512</v>
      </c>
      <c r="D265" s="8">
        <v>60</v>
      </c>
      <c r="E265" s="7"/>
      <c r="F265" s="7"/>
      <c r="G265" s="7"/>
      <c r="H265" s="7"/>
      <c r="I265" s="7"/>
      <c r="J265" s="7">
        <v>6</v>
      </c>
      <c r="K265" s="7">
        <v>12</v>
      </c>
      <c r="L265" s="7"/>
      <c r="M265" s="7"/>
      <c r="N265" s="7"/>
      <c r="O265" s="7"/>
      <c r="P265" s="7"/>
      <c r="Q265" s="7">
        <v>24</v>
      </c>
      <c r="R265" s="7"/>
      <c r="S265" s="7"/>
      <c r="T265" s="7"/>
      <c r="U265" s="7"/>
      <c r="V265" s="7">
        <f t="shared" si="8"/>
        <v>42</v>
      </c>
      <c r="W265" s="7">
        <f t="shared" si="9"/>
        <v>18</v>
      </c>
    </row>
    <row r="266" spans="1:23" ht="18.75" x14ac:dyDescent="0.3">
      <c r="A266" s="4">
        <v>265</v>
      </c>
      <c r="B266" s="7" t="s">
        <v>513</v>
      </c>
      <c r="C266" s="9" t="s">
        <v>514</v>
      </c>
      <c r="D266" s="8">
        <v>15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>
        <f t="shared" si="8"/>
        <v>0</v>
      </c>
      <c r="W266" s="7">
        <f t="shared" si="9"/>
        <v>15</v>
      </c>
    </row>
    <row r="267" spans="1:23" ht="18.75" x14ac:dyDescent="0.3">
      <c r="A267" s="4">
        <v>266</v>
      </c>
      <c r="B267" s="7" t="s">
        <v>515</v>
      </c>
      <c r="C267" s="9" t="s">
        <v>516</v>
      </c>
      <c r="D267" s="8">
        <v>15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>
        <f t="shared" si="8"/>
        <v>0</v>
      </c>
      <c r="W267" s="7">
        <f t="shared" si="9"/>
        <v>15</v>
      </c>
    </row>
    <row r="268" spans="1:23" ht="18.75" x14ac:dyDescent="0.3">
      <c r="A268" s="4">
        <v>267</v>
      </c>
      <c r="B268" s="7" t="s">
        <v>517</v>
      </c>
      <c r="C268" s="9" t="s">
        <v>518</v>
      </c>
      <c r="D268" s="8">
        <v>52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>
        <f t="shared" si="8"/>
        <v>0</v>
      </c>
      <c r="W268" s="7">
        <f t="shared" si="9"/>
        <v>52</v>
      </c>
    </row>
    <row r="269" spans="1:23" ht="18.75" x14ac:dyDescent="0.3">
      <c r="A269" s="4">
        <v>268</v>
      </c>
      <c r="B269" s="7" t="s">
        <v>519</v>
      </c>
      <c r="C269" s="9" t="s">
        <v>520</v>
      </c>
      <c r="D269" s="8">
        <v>14</v>
      </c>
      <c r="E269" s="7"/>
      <c r="F269" s="7"/>
      <c r="G269" s="7"/>
      <c r="H269" s="7"/>
      <c r="I269" s="7"/>
      <c r="J269" s="7">
        <v>7</v>
      </c>
      <c r="K269" s="7"/>
      <c r="L269" s="7"/>
      <c r="M269" s="7"/>
      <c r="N269" s="7"/>
      <c r="O269" s="7"/>
      <c r="P269" s="7">
        <v>7</v>
      </c>
      <c r="Q269" s="7"/>
      <c r="R269" s="7"/>
      <c r="S269" s="7"/>
      <c r="T269" s="7"/>
      <c r="U269" s="7"/>
      <c r="V269" s="7">
        <f t="shared" si="8"/>
        <v>14</v>
      </c>
      <c r="W269" s="7">
        <f t="shared" si="9"/>
        <v>0</v>
      </c>
    </row>
    <row r="270" spans="1:23" ht="18.75" x14ac:dyDescent="0.3">
      <c r="A270" s="4">
        <v>269</v>
      </c>
      <c r="B270" s="7" t="s">
        <v>521</v>
      </c>
      <c r="C270" s="9" t="s">
        <v>522</v>
      </c>
      <c r="D270" s="8">
        <v>14</v>
      </c>
      <c r="E270" s="7"/>
      <c r="F270" s="7"/>
      <c r="G270" s="7"/>
      <c r="H270" s="7"/>
      <c r="I270" s="7"/>
      <c r="J270" s="7">
        <v>7</v>
      </c>
      <c r="K270" s="7"/>
      <c r="L270" s="7"/>
      <c r="M270" s="7"/>
      <c r="N270" s="7"/>
      <c r="O270" s="7"/>
      <c r="P270" s="7">
        <v>5</v>
      </c>
      <c r="Q270" s="7"/>
      <c r="R270" s="7"/>
      <c r="S270" s="7"/>
      <c r="T270" s="7"/>
      <c r="U270" s="7"/>
      <c r="V270" s="7">
        <f t="shared" si="8"/>
        <v>12</v>
      </c>
      <c r="W270" s="7">
        <f t="shared" si="9"/>
        <v>2</v>
      </c>
    </row>
    <row r="271" spans="1:23" ht="18.75" x14ac:dyDescent="0.3">
      <c r="A271" s="4">
        <v>270</v>
      </c>
      <c r="B271" s="7" t="s">
        <v>523</v>
      </c>
      <c r="C271" s="9" t="s">
        <v>524</v>
      </c>
      <c r="D271" s="8">
        <v>36</v>
      </c>
      <c r="E271" s="7"/>
      <c r="F271" s="7"/>
      <c r="G271" s="7"/>
      <c r="H271" s="7"/>
      <c r="I271" s="7"/>
      <c r="J271" s="7">
        <v>18</v>
      </c>
      <c r="K271" s="7"/>
      <c r="L271" s="7"/>
      <c r="M271" s="7"/>
      <c r="N271" s="7"/>
      <c r="O271" s="7"/>
      <c r="P271" s="7">
        <v>12</v>
      </c>
      <c r="Q271" s="7"/>
      <c r="R271" s="7"/>
      <c r="S271" s="7">
        <v>2</v>
      </c>
      <c r="T271" s="7"/>
      <c r="U271" s="7"/>
      <c r="V271" s="7">
        <f t="shared" si="8"/>
        <v>32</v>
      </c>
      <c r="W271" s="7">
        <f t="shared" si="9"/>
        <v>4</v>
      </c>
    </row>
    <row r="272" spans="1:23" ht="18.75" x14ac:dyDescent="0.3">
      <c r="A272" s="4">
        <v>271</v>
      </c>
      <c r="B272" s="7" t="s">
        <v>525</v>
      </c>
      <c r="C272" s="9" t="s">
        <v>526</v>
      </c>
      <c r="D272" s="8">
        <v>120</v>
      </c>
      <c r="E272" s="7"/>
      <c r="F272" s="7"/>
      <c r="G272" s="7"/>
      <c r="H272" s="7">
        <v>12</v>
      </c>
      <c r="I272" s="7"/>
      <c r="J272" s="7">
        <v>24</v>
      </c>
      <c r="K272" s="7"/>
      <c r="L272" s="7"/>
      <c r="M272" s="7"/>
      <c r="N272" s="7"/>
      <c r="O272" s="7"/>
      <c r="P272" s="7">
        <v>30</v>
      </c>
      <c r="Q272" s="7"/>
      <c r="R272" s="7"/>
      <c r="S272" s="7"/>
      <c r="T272" s="7"/>
      <c r="U272" s="7"/>
      <c r="V272" s="7">
        <f t="shared" si="8"/>
        <v>66</v>
      </c>
      <c r="W272" s="7">
        <f t="shared" si="9"/>
        <v>54</v>
      </c>
    </row>
    <row r="273" spans="1:23" ht="18.75" x14ac:dyDescent="0.3">
      <c r="A273" s="4">
        <v>272</v>
      </c>
      <c r="B273" s="7" t="s">
        <v>527</v>
      </c>
      <c r="C273" s="9" t="s">
        <v>528</v>
      </c>
      <c r="D273" s="8">
        <v>18</v>
      </c>
      <c r="E273" s="7"/>
      <c r="F273" s="7"/>
      <c r="G273" s="7"/>
      <c r="H273" s="7"/>
      <c r="I273" s="7"/>
      <c r="J273" s="7">
        <v>9</v>
      </c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>
        <f t="shared" si="8"/>
        <v>9</v>
      </c>
      <c r="W273" s="7">
        <f t="shared" si="9"/>
        <v>9</v>
      </c>
    </row>
    <row r="274" spans="1:23" ht="18.75" x14ac:dyDescent="0.3">
      <c r="A274" s="4">
        <v>273</v>
      </c>
      <c r="B274" s="7" t="s">
        <v>529</v>
      </c>
      <c r="C274" s="9" t="s">
        <v>530</v>
      </c>
      <c r="D274" s="8">
        <v>18</v>
      </c>
      <c r="E274" s="7"/>
      <c r="F274" s="7"/>
      <c r="G274" s="7"/>
      <c r="H274" s="7"/>
      <c r="I274" s="7"/>
      <c r="J274" s="7">
        <v>9</v>
      </c>
      <c r="K274" s="7">
        <v>8</v>
      </c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>
        <f t="shared" si="8"/>
        <v>17</v>
      </c>
      <c r="W274" s="7">
        <f t="shared" si="9"/>
        <v>1</v>
      </c>
    </row>
    <row r="275" spans="1:23" ht="18.75" x14ac:dyDescent="0.3">
      <c r="A275" s="4">
        <v>274</v>
      </c>
      <c r="B275" s="7" t="s">
        <v>531</v>
      </c>
      <c r="C275" s="9" t="s">
        <v>532</v>
      </c>
      <c r="D275" s="8">
        <v>20</v>
      </c>
      <c r="E275" s="7"/>
      <c r="F275" s="7"/>
      <c r="G275" s="7"/>
      <c r="H275" s="7"/>
      <c r="I275" s="7"/>
      <c r="J275" s="7">
        <v>10</v>
      </c>
      <c r="K275" s="7"/>
      <c r="L275" s="7"/>
      <c r="M275" s="7"/>
      <c r="N275" s="7"/>
      <c r="O275" s="7"/>
      <c r="P275" s="7">
        <v>9</v>
      </c>
      <c r="Q275" s="7"/>
      <c r="R275" s="7"/>
      <c r="S275" s="7"/>
      <c r="T275" s="7"/>
      <c r="U275" s="7"/>
      <c r="V275" s="7">
        <f t="shared" si="8"/>
        <v>19</v>
      </c>
      <c r="W275" s="7">
        <f t="shared" si="9"/>
        <v>1</v>
      </c>
    </row>
    <row r="276" spans="1:23" ht="18.75" x14ac:dyDescent="0.3">
      <c r="A276" s="4">
        <v>275</v>
      </c>
      <c r="B276" s="7" t="s">
        <v>533</v>
      </c>
      <c r="C276" s="9" t="s">
        <v>534</v>
      </c>
      <c r="D276" s="8">
        <v>10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>
        <f t="shared" si="8"/>
        <v>0</v>
      </c>
      <c r="W276" s="7">
        <f t="shared" si="9"/>
        <v>10</v>
      </c>
    </row>
    <row r="277" spans="1:23" ht="18.75" x14ac:dyDescent="0.3">
      <c r="A277" s="4">
        <v>276</v>
      </c>
      <c r="B277" s="7" t="s">
        <v>535</v>
      </c>
      <c r="C277" s="9" t="s">
        <v>536</v>
      </c>
      <c r="D277" s="8">
        <v>10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>
        <f t="shared" si="8"/>
        <v>0</v>
      </c>
      <c r="W277" s="7">
        <f t="shared" si="9"/>
        <v>10</v>
      </c>
    </row>
    <row r="278" spans="1:23" ht="18.75" x14ac:dyDescent="0.3">
      <c r="A278" s="4">
        <v>277</v>
      </c>
      <c r="B278" s="7" t="s">
        <v>537</v>
      </c>
      <c r="C278" s="9" t="s">
        <v>538</v>
      </c>
      <c r="D278" s="8">
        <v>10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>
        <f t="shared" si="8"/>
        <v>0</v>
      </c>
      <c r="W278" s="7">
        <f t="shared" si="9"/>
        <v>10</v>
      </c>
    </row>
    <row r="279" spans="1:23" ht="18.75" x14ac:dyDescent="0.3">
      <c r="A279" s="4">
        <v>278</v>
      </c>
      <c r="B279" s="7" t="s">
        <v>539</v>
      </c>
      <c r="C279" s="9" t="s">
        <v>540</v>
      </c>
      <c r="D279" s="8">
        <v>6</v>
      </c>
      <c r="E279" s="7"/>
      <c r="F279" s="7"/>
      <c r="G279" s="7"/>
      <c r="H279" s="7"/>
      <c r="I279" s="7"/>
      <c r="J279" s="7">
        <v>3</v>
      </c>
      <c r="K279" s="7">
        <v>2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>
        <f t="shared" si="8"/>
        <v>5</v>
      </c>
      <c r="W279" s="7">
        <f t="shared" si="9"/>
        <v>1</v>
      </c>
    </row>
    <row r="280" spans="1:23" ht="18.75" x14ac:dyDescent="0.3">
      <c r="A280" s="4">
        <v>279</v>
      </c>
      <c r="B280" s="7" t="s">
        <v>541</v>
      </c>
      <c r="C280" s="9" t="s">
        <v>542</v>
      </c>
      <c r="D280" s="8">
        <v>1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>
        <f t="shared" si="8"/>
        <v>0</v>
      </c>
      <c r="W280" s="7">
        <f t="shared" si="9"/>
        <v>1</v>
      </c>
    </row>
    <row r="281" spans="1:23" ht="18.75" x14ac:dyDescent="0.3">
      <c r="A281" s="4">
        <v>280</v>
      </c>
      <c r="B281" s="7" t="s">
        <v>543</v>
      </c>
      <c r="C281" s="9" t="s">
        <v>544</v>
      </c>
      <c r="D281" s="8">
        <v>48</v>
      </c>
      <c r="E281" s="7"/>
      <c r="F281" s="7"/>
      <c r="G281" s="7"/>
      <c r="H281" s="7"/>
      <c r="I281" s="7"/>
      <c r="J281" s="7">
        <v>12</v>
      </c>
      <c r="K281" s="7">
        <v>12</v>
      </c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>
        <f t="shared" si="8"/>
        <v>24</v>
      </c>
      <c r="W281" s="7">
        <f t="shared" si="9"/>
        <v>24</v>
      </c>
    </row>
    <row r="282" spans="1:23" ht="18.75" x14ac:dyDescent="0.3">
      <c r="A282" s="4">
        <v>281</v>
      </c>
      <c r="B282" s="7" t="s">
        <v>545</v>
      </c>
      <c r="C282" s="9" t="s">
        <v>546</v>
      </c>
      <c r="D282" s="8">
        <v>24</v>
      </c>
      <c r="E282" s="7"/>
      <c r="F282" s="7"/>
      <c r="G282" s="7"/>
      <c r="H282" s="7"/>
      <c r="I282" s="7"/>
      <c r="J282" s="7">
        <v>1</v>
      </c>
      <c r="K282" s="7">
        <v>12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>
        <f t="shared" si="8"/>
        <v>13</v>
      </c>
      <c r="W282" s="7">
        <f t="shared" si="9"/>
        <v>11</v>
      </c>
    </row>
    <row r="283" spans="1:23" ht="18.75" x14ac:dyDescent="0.3">
      <c r="A283" s="4">
        <v>282</v>
      </c>
      <c r="B283" s="7" t="s">
        <v>547</v>
      </c>
      <c r="C283" s="9" t="s">
        <v>548</v>
      </c>
      <c r="D283" s="8">
        <v>48</v>
      </c>
      <c r="E283" s="7"/>
      <c r="F283" s="7"/>
      <c r="G283" s="7"/>
      <c r="H283" s="7"/>
      <c r="I283" s="7">
        <v>1</v>
      </c>
      <c r="J283" s="7"/>
      <c r="K283" s="7"/>
      <c r="L283" s="7"/>
      <c r="M283" s="7"/>
      <c r="N283" s="7"/>
      <c r="O283" s="7"/>
      <c r="P283" s="7">
        <v>12</v>
      </c>
      <c r="Q283" s="7"/>
      <c r="R283" s="7"/>
      <c r="S283" s="7"/>
      <c r="T283" s="7"/>
      <c r="U283" s="7"/>
      <c r="V283" s="7">
        <f t="shared" si="8"/>
        <v>13</v>
      </c>
      <c r="W283" s="7">
        <f t="shared" si="9"/>
        <v>35</v>
      </c>
    </row>
    <row r="284" spans="1:23" ht="18.75" x14ac:dyDescent="0.3">
      <c r="A284" s="4">
        <v>283</v>
      </c>
      <c r="B284" s="7" t="s">
        <v>549</v>
      </c>
      <c r="C284" s="9" t="s">
        <v>550</v>
      </c>
      <c r="D284" s="8">
        <v>18</v>
      </c>
      <c r="E284" s="7"/>
      <c r="F284" s="7"/>
      <c r="G284" s="7"/>
      <c r="H284" s="7"/>
      <c r="I284" s="7">
        <v>6</v>
      </c>
      <c r="J284" s="7"/>
      <c r="K284" s="7"/>
      <c r="L284" s="7"/>
      <c r="M284" s="7"/>
      <c r="N284" s="7"/>
      <c r="O284" s="7"/>
      <c r="P284" s="7"/>
      <c r="Q284" s="7"/>
      <c r="R284" s="7">
        <v>1</v>
      </c>
      <c r="S284" s="7"/>
      <c r="T284" s="7"/>
      <c r="U284" s="7"/>
      <c r="V284" s="7">
        <f t="shared" si="8"/>
        <v>7</v>
      </c>
      <c r="W284" s="7">
        <f t="shared" si="9"/>
        <v>11</v>
      </c>
    </row>
    <row r="285" spans="1:23" ht="18.75" x14ac:dyDescent="0.3">
      <c r="A285" s="4">
        <v>284</v>
      </c>
      <c r="B285" s="7" t="s">
        <v>551</v>
      </c>
      <c r="C285" s="9" t="s">
        <v>552</v>
      </c>
      <c r="D285" s="8">
        <v>36</v>
      </c>
      <c r="E285" s="7"/>
      <c r="F285" s="7"/>
      <c r="G285" s="7"/>
      <c r="H285" s="7"/>
      <c r="I285" s="7">
        <v>12</v>
      </c>
      <c r="J285" s="7"/>
      <c r="K285" s="7"/>
      <c r="L285" s="7"/>
      <c r="M285" s="7"/>
      <c r="N285" s="7"/>
      <c r="O285" s="7"/>
      <c r="P285" s="7"/>
      <c r="Q285" s="7">
        <v>7</v>
      </c>
      <c r="R285" s="7">
        <v>2</v>
      </c>
      <c r="S285" s="7"/>
      <c r="T285" s="7"/>
      <c r="U285" s="7"/>
      <c r="V285" s="7">
        <f t="shared" si="8"/>
        <v>21</v>
      </c>
      <c r="W285" s="7">
        <f t="shared" si="9"/>
        <v>15</v>
      </c>
    </row>
    <row r="286" spans="1:23" ht="18.75" x14ac:dyDescent="0.3">
      <c r="A286" s="4">
        <v>285</v>
      </c>
      <c r="B286" s="7" t="s">
        <v>553</v>
      </c>
      <c r="C286" s="9" t="s">
        <v>554</v>
      </c>
      <c r="D286" s="8">
        <v>18</v>
      </c>
      <c r="E286" s="7"/>
      <c r="F286" s="7"/>
      <c r="G286" s="7"/>
      <c r="H286" s="7"/>
      <c r="I286" s="7">
        <v>3</v>
      </c>
      <c r="J286" s="7"/>
      <c r="K286" s="7">
        <v>4</v>
      </c>
      <c r="L286" s="7"/>
      <c r="M286" s="7"/>
      <c r="N286" s="7"/>
      <c r="O286" s="7"/>
      <c r="P286" s="7">
        <v>7</v>
      </c>
      <c r="Q286" s="7"/>
      <c r="R286" s="7"/>
      <c r="S286" s="7"/>
      <c r="T286" s="7"/>
      <c r="U286" s="7"/>
      <c r="V286" s="7">
        <f t="shared" si="8"/>
        <v>14</v>
      </c>
      <c r="W286" s="7">
        <f t="shared" si="9"/>
        <v>4</v>
      </c>
    </row>
    <row r="287" spans="1:23" ht="18.75" x14ac:dyDescent="0.3">
      <c r="A287" s="4">
        <v>286</v>
      </c>
      <c r="B287" s="7" t="s">
        <v>555</v>
      </c>
      <c r="C287" s="9" t="s">
        <v>556</v>
      </c>
      <c r="D287" s="8">
        <v>7</v>
      </c>
      <c r="E287" s="7"/>
      <c r="F287" s="7"/>
      <c r="G287" s="7"/>
      <c r="H287" s="7"/>
      <c r="I287" s="7">
        <v>3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>
        <f t="shared" si="8"/>
        <v>3</v>
      </c>
      <c r="W287" s="7">
        <f t="shared" si="9"/>
        <v>4</v>
      </c>
    </row>
    <row r="288" spans="1:23" ht="18.75" x14ac:dyDescent="0.3">
      <c r="A288" s="4">
        <v>287</v>
      </c>
      <c r="B288" s="7" t="s">
        <v>557</v>
      </c>
      <c r="C288" s="9" t="s">
        <v>558</v>
      </c>
      <c r="D288" s="8">
        <v>7</v>
      </c>
      <c r="E288" s="7"/>
      <c r="F288" s="7"/>
      <c r="G288" s="7"/>
      <c r="H288" s="7"/>
      <c r="I288" s="7"/>
      <c r="J288" s="7">
        <v>3</v>
      </c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>
        <f t="shared" si="8"/>
        <v>3</v>
      </c>
      <c r="W288" s="7">
        <f t="shared" si="9"/>
        <v>4</v>
      </c>
    </row>
    <row r="289" spans="1:23" ht="18.75" x14ac:dyDescent="0.3">
      <c r="A289" s="4">
        <v>288</v>
      </c>
      <c r="B289" s="7" t="s">
        <v>559</v>
      </c>
      <c r="C289" s="9" t="s">
        <v>560</v>
      </c>
      <c r="D289" s="8">
        <v>12</v>
      </c>
      <c r="E289" s="7"/>
      <c r="F289" s="7"/>
      <c r="G289" s="7"/>
      <c r="H289" s="7"/>
      <c r="I289" s="7"/>
      <c r="J289" s="7">
        <v>6</v>
      </c>
      <c r="K289" s="7">
        <v>1</v>
      </c>
      <c r="L289" s="7"/>
      <c r="M289" s="7"/>
      <c r="N289" s="7"/>
      <c r="O289" s="7"/>
      <c r="P289" s="7">
        <v>4</v>
      </c>
      <c r="Q289" s="7"/>
      <c r="R289" s="7"/>
      <c r="S289" s="7"/>
      <c r="T289" s="7"/>
      <c r="U289" s="7"/>
      <c r="V289" s="7">
        <f t="shared" si="8"/>
        <v>11</v>
      </c>
      <c r="W289" s="7">
        <f t="shared" si="9"/>
        <v>1</v>
      </c>
    </row>
    <row r="290" spans="1:23" ht="18.75" x14ac:dyDescent="0.3">
      <c r="A290" s="4">
        <v>289</v>
      </c>
      <c r="B290" s="7" t="s">
        <v>561</v>
      </c>
      <c r="C290" s="9" t="s">
        <v>562</v>
      </c>
      <c r="D290" s="8">
        <v>36</v>
      </c>
      <c r="E290" s="7"/>
      <c r="F290" s="7"/>
      <c r="G290" s="7"/>
      <c r="H290" s="7">
        <v>24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>
        <f t="shared" si="8"/>
        <v>24</v>
      </c>
      <c r="W290" s="7">
        <f t="shared" si="9"/>
        <v>12</v>
      </c>
    </row>
    <row r="291" spans="1:23" ht="18.75" x14ac:dyDescent="0.3">
      <c r="A291" s="4">
        <v>290</v>
      </c>
      <c r="B291" s="7" t="s">
        <v>563</v>
      </c>
      <c r="C291" s="9" t="s">
        <v>564</v>
      </c>
      <c r="D291" s="8">
        <v>3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>
        <f t="shared" si="8"/>
        <v>0</v>
      </c>
      <c r="W291" s="7">
        <f t="shared" si="9"/>
        <v>3</v>
      </c>
    </row>
    <row r="292" spans="1:23" ht="18.75" x14ac:dyDescent="0.3">
      <c r="A292" s="4">
        <v>291</v>
      </c>
      <c r="B292" s="7" t="s">
        <v>565</v>
      </c>
      <c r="C292" s="9" t="s">
        <v>566</v>
      </c>
      <c r="D292" s="8">
        <v>8</v>
      </c>
      <c r="E292" s="7"/>
      <c r="F292" s="7"/>
      <c r="G292" s="7"/>
      <c r="H292" s="7"/>
      <c r="I292" s="7">
        <v>1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>
        <f t="shared" si="8"/>
        <v>1</v>
      </c>
      <c r="W292" s="7">
        <f t="shared" si="9"/>
        <v>7</v>
      </c>
    </row>
    <row r="293" spans="1:23" ht="18.75" x14ac:dyDescent="0.3">
      <c r="A293" s="4">
        <v>292</v>
      </c>
      <c r="B293" s="7" t="s">
        <v>567</v>
      </c>
      <c r="C293" s="9" t="s">
        <v>568</v>
      </c>
      <c r="D293" s="8">
        <v>8</v>
      </c>
      <c r="E293" s="7"/>
      <c r="F293" s="7"/>
      <c r="G293" s="7"/>
      <c r="H293" s="7"/>
      <c r="I293" s="7">
        <v>1</v>
      </c>
      <c r="J293" s="7"/>
      <c r="K293" s="7">
        <v>1</v>
      </c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>
        <f t="shared" si="8"/>
        <v>2</v>
      </c>
      <c r="W293" s="7">
        <f t="shared" si="9"/>
        <v>6</v>
      </c>
    </row>
    <row r="294" spans="1:23" ht="18.75" x14ac:dyDescent="0.3">
      <c r="A294" s="4">
        <v>293</v>
      </c>
      <c r="B294" s="7" t="s">
        <v>569</v>
      </c>
      <c r="C294" s="9" t="s">
        <v>570</v>
      </c>
      <c r="D294" s="8">
        <v>4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>
        <f t="shared" si="8"/>
        <v>0</v>
      </c>
      <c r="W294" s="7">
        <f t="shared" si="9"/>
        <v>4</v>
      </c>
    </row>
    <row r="295" spans="1:23" ht="18.75" x14ac:dyDescent="0.3">
      <c r="A295" s="4">
        <v>294</v>
      </c>
      <c r="B295" s="7" t="s">
        <v>571</v>
      </c>
      <c r="C295" s="9" t="s">
        <v>572</v>
      </c>
      <c r="D295" s="8">
        <v>4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>
        <f t="shared" si="8"/>
        <v>0</v>
      </c>
      <c r="W295" s="7">
        <f t="shared" si="9"/>
        <v>4</v>
      </c>
    </row>
    <row r="296" spans="1:23" ht="18.75" x14ac:dyDescent="0.3">
      <c r="A296" s="4">
        <v>295</v>
      </c>
      <c r="B296" s="7" t="s">
        <v>573</v>
      </c>
      <c r="C296" s="9" t="s">
        <v>574</v>
      </c>
      <c r="D296" s="8">
        <v>4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>
        <f t="shared" si="8"/>
        <v>0</v>
      </c>
      <c r="W296" s="7">
        <f t="shared" si="9"/>
        <v>4</v>
      </c>
    </row>
    <row r="297" spans="1:23" ht="18.75" x14ac:dyDescent="0.3">
      <c r="A297" s="4">
        <v>296</v>
      </c>
      <c r="B297" s="7" t="s">
        <v>575</v>
      </c>
      <c r="C297" s="9" t="s">
        <v>576</v>
      </c>
      <c r="D297" s="8">
        <v>4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>
        <f t="shared" si="8"/>
        <v>0</v>
      </c>
      <c r="W297" s="7">
        <f t="shared" si="9"/>
        <v>4</v>
      </c>
    </row>
    <row r="298" spans="1:23" ht="18.75" x14ac:dyDescent="0.3">
      <c r="A298" s="4">
        <v>297</v>
      </c>
      <c r="B298" s="7" t="s">
        <v>577</v>
      </c>
      <c r="C298" s="9" t="s">
        <v>578</v>
      </c>
      <c r="D298" s="8">
        <v>6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>
        <f t="shared" si="8"/>
        <v>0</v>
      </c>
      <c r="W298" s="7">
        <f t="shared" si="9"/>
        <v>6</v>
      </c>
    </row>
    <row r="299" spans="1:23" ht="18.75" x14ac:dyDescent="0.3">
      <c r="A299" s="4">
        <v>298</v>
      </c>
      <c r="B299" s="7" t="s">
        <v>579</v>
      </c>
      <c r="C299" s="9" t="s">
        <v>580</v>
      </c>
      <c r="D299" s="8">
        <v>8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>
        <f t="shared" si="8"/>
        <v>0</v>
      </c>
      <c r="W299" s="7">
        <f t="shared" si="9"/>
        <v>8</v>
      </c>
    </row>
    <row r="300" spans="1:23" ht="18.75" x14ac:dyDescent="0.3">
      <c r="A300" s="4">
        <v>299</v>
      </c>
      <c r="B300" s="7" t="s">
        <v>581</v>
      </c>
      <c r="C300" s="9" t="s">
        <v>582</v>
      </c>
      <c r="D300" s="8">
        <v>6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>
        <f t="shared" si="8"/>
        <v>0</v>
      </c>
      <c r="W300" s="7">
        <f t="shared" si="9"/>
        <v>6</v>
      </c>
    </row>
    <row r="301" spans="1:23" ht="18.75" x14ac:dyDescent="0.3">
      <c r="A301" s="4">
        <v>300</v>
      </c>
      <c r="B301" s="7" t="s">
        <v>583</v>
      </c>
      <c r="C301" s="9" t="s">
        <v>584</v>
      </c>
      <c r="D301" s="8">
        <v>6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>
        <f t="shared" si="8"/>
        <v>0</v>
      </c>
      <c r="W301" s="7">
        <f t="shared" si="9"/>
        <v>6</v>
      </c>
    </row>
    <row r="302" spans="1:23" ht="18.75" x14ac:dyDescent="0.3">
      <c r="A302" s="4">
        <v>301</v>
      </c>
      <c r="B302" s="7" t="s">
        <v>585</v>
      </c>
      <c r="C302" s="9" t="s">
        <v>586</v>
      </c>
      <c r="D302" s="8">
        <v>6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>
        <f t="shared" si="8"/>
        <v>0</v>
      </c>
      <c r="W302" s="7">
        <f t="shared" si="9"/>
        <v>6</v>
      </c>
    </row>
    <row r="303" spans="1:23" ht="18.75" x14ac:dyDescent="0.3">
      <c r="A303" s="4">
        <v>302</v>
      </c>
      <c r="B303" s="7" t="s">
        <v>587</v>
      </c>
      <c r="C303" s="9" t="s">
        <v>588</v>
      </c>
      <c r="D303" s="8">
        <v>6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>
        <f t="shared" si="8"/>
        <v>0</v>
      </c>
      <c r="W303" s="7">
        <f t="shared" si="9"/>
        <v>6</v>
      </c>
    </row>
    <row r="304" spans="1:23" ht="18.75" x14ac:dyDescent="0.3">
      <c r="A304" s="4">
        <v>303</v>
      </c>
      <c r="B304" s="7" t="s">
        <v>589</v>
      </c>
      <c r="C304" s="9" t="s">
        <v>590</v>
      </c>
      <c r="D304" s="8">
        <v>4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>
        <f t="shared" si="8"/>
        <v>0</v>
      </c>
      <c r="W304" s="7">
        <f t="shared" si="9"/>
        <v>4</v>
      </c>
    </row>
    <row r="305" spans="1:23" ht="18.75" x14ac:dyDescent="0.3">
      <c r="A305" s="4">
        <v>304</v>
      </c>
      <c r="B305" s="7" t="s">
        <v>591</v>
      </c>
      <c r="C305" s="9" t="s">
        <v>592</v>
      </c>
      <c r="D305" s="8">
        <v>4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>
        <f t="shared" si="8"/>
        <v>0</v>
      </c>
      <c r="W305" s="7">
        <f t="shared" si="9"/>
        <v>4</v>
      </c>
    </row>
    <row r="306" spans="1:23" ht="18.75" x14ac:dyDescent="0.3">
      <c r="A306" s="4">
        <v>305</v>
      </c>
      <c r="B306" s="7" t="s">
        <v>593</v>
      </c>
      <c r="C306" s="9" t="s">
        <v>594</v>
      </c>
      <c r="D306" s="8">
        <v>6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>
        <f t="shared" si="8"/>
        <v>0</v>
      </c>
      <c r="W306" s="7">
        <f t="shared" si="9"/>
        <v>6</v>
      </c>
    </row>
    <row r="307" spans="1:23" ht="18.75" x14ac:dyDescent="0.3">
      <c r="A307" s="4">
        <v>306</v>
      </c>
      <c r="B307" s="7" t="s">
        <v>595</v>
      </c>
      <c r="C307" s="9" t="s">
        <v>596</v>
      </c>
      <c r="D307" s="8">
        <v>6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>
        <f t="shared" si="8"/>
        <v>0</v>
      </c>
      <c r="W307" s="7">
        <f t="shared" si="9"/>
        <v>6</v>
      </c>
    </row>
    <row r="308" spans="1:23" ht="18.75" x14ac:dyDescent="0.3">
      <c r="A308" s="4">
        <v>307</v>
      </c>
      <c r="B308" s="7" t="s">
        <v>597</v>
      </c>
      <c r="C308" s="9" t="s">
        <v>598</v>
      </c>
      <c r="D308" s="8">
        <v>4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>
        <f t="shared" si="8"/>
        <v>0</v>
      </c>
      <c r="W308" s="7">
        <f t="shared" si="9"/>
        <v>4</v>
      </c>
    </row>
    <row r="309" spans="1:23" ht="18.75" x14ac:dyDescent="0.3">
      <c r="A309" s="4">
        <v>308</v>
      </c>
      <c r="B309" s="7" t="s">
        <v>599</v>
      </c>
      <c r="C309" s="9" t="s">
        <v>600</v>
      </c>
      <c r="D309" s="8">
        <v>33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>
        <f t="shared" si="8"/>
        <v>0</v>
      </c>
      <c r="W309" s="7">
        <f t="shared" si="9"/>
        <v>33</v>
      </c>
    </row>
    <row r="310" spans="1:23" ht="18.75" x14ac:dyDescent="0.3">
      <c r="A310" s="4">
        <v>309</v>
      </c>
      <c r="B310" s="7" t="s">
        <v>601</v>
      </c>
      <c r="C310" s="9" t="s">
        <v>602</v>
      </c>
      <c r="D310" s="8">
        <v>30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>
        <f t="shared" si="8"/>
        <v>0</v>
      </c>
      <c r="W310" s="7">
        <f t="shared" si="9"/>
        <v>30</v>
      </c>
    </row>
    <row r="311" spans="1:23" ht="18.75" x14ac:dyDescent="0.3">
      <c r="A311" s="4">
        <v>310</v>
      </c>
      <c r="B311" s="7" t="s">
        <v>603</v>
      </c>
      <c r="C311" s="9" t="s">
        <v>604</v>
      </c>
      <c r="D311" s="8">
        <v>30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>
        <f t="shared" si="8"/>
        <v>0</v>
      </c>
      <c r="W311" s="7">
        <f t="shared" si="9"/>
        <v>30</v>
      </c>
    </row>
    <row r="312" spans="1:23" ht="18.75" x14ac:dyDescent="0.3">
      <c r="A312" s="4">
        <v>311</v>
      </c>
      <c r="B312" s="7" t="s">
        <v>605</v>
      </c>
      <c r="C312" s="9" t="s">
        <v>606</v>
      </c>
      <c r="D312" s="8">
        <v>6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>
        <f t="shared" si="8"/>
        <v>0</v>
      </c>
      <c r="W312" s="7">
        <f t="shared" si="9"/>
        <v>6</v>
      </c>
    </row>
    <row r="313" spans="1:23" ht="18.75" x14ac:dyDescent="0.3">
      <c r="A313" s="4">
        <v>312</v>
      </c>
      <c r="B313" s="7" t="s">
        <v>607</v>
      </c>
      <c r="C313" s="9" t="s">
        <v>608</v>
      </c>
      <c r="D313" s="8">
        <v>6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>
        <f t="shared" si="8"/>
        <v>0</v>
      </c>
      <c r="W313" s="7">
        <f t="shared" si="9"/>
        <v>6</v>
      </c>
    </row>
    <row r="314" spans="1:23" ht="18.75" x14ac:dyDescent="0.3">
      <c r="A314" s="4">
        <v>313</v>
      </c>
      <c r="B314" s="7" t="s">
        <v>609</v>
      </c>
      <c r="C314" s="9" t="s">
        <v>610</v>
      </c>
      <c r="D314" s="8">
        <v>6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>
        <f t="shared" si="8"/>
        <v>0</v>
      </c>
      <c r="W314" s="7">
        <f t="shared" si="9"/>
        <v>6</v>
      </c>
    </row>
    <row r="315" spans="1:23" ht="18.75" x14ac:dyDescent="0.3">
      <c r="A315" s="4">
        <v>314</v>
      </c>
      <c r="B315" s="7" t="s">
        <v>611</v>
      </c>
      <c r="C315" s="9" t="s">
        <v>612</v>
      </c>
      <c r="D315" s="8">
        <v>123</v>
      </c>
      <c r="E315" s="7"/>
      <c r="F315" s="7"/>
      <c r="G315" s="7"/>
      <c r="H315" s="7"/>
      <c r="I315" s="7">
        <v>15</v>
      </c>
      <c r="J315" s="7"/>
      <c r="K315" s="7">
        <v>30</v>
      </c>
      <c r="L315" s="7"/>
      <c r="M315" s="7"/>
      <c r="N315" s="7"/>
      <c r="O315" s="7"/>
      <c r="P315" s="7"/>
      <c r="Q315" s="7">
        <v>30</v>
      </c>
      <c r="R315" s="7"/>
      <c r="S315" s="7"/>
      <c r="T315" s="7"/>
      <c r="U315" s="7"/>
      <c r="V315" s="7">
        <f t="shared" si="8"/>
        <v>75</v>
      </c>
      <c r="W315" s="7">
        <f t="shared" si="9"/>
        <v>48</v>
      </c>
    </row>
    <row r="316" spans="1:23" ht="18.75" x14ac:dyDescent="0.3">
      <c r="A316" s="4">
        <v>315</v>
      </c>
      <c r="B316" s="7" t="s">
        <v>613</v>
      </c>
      <c r="C316" s="9" t="s">
        <v>614</v>
      </c>
      <c r="D316" s="8">
        <v>120</v>
      </c>
      <c r="E316" s="7"/>
      <c r="F316" s="7"/>
      <c r="G316" s="7"/>
      <c r="H316" s="7"/>
      <c r="I316" s="7"/>
      <c r="J316" s="7"/>
      <c r="K316" s="7">
        <v>30</v>
      </c>
      <c r="L316" s="7"/>
      <c r="M316" s="7"/>
      <c r="N316" s="7"/>
      <c r="O316" s="7"/>
      <c r="P316" s="7">
        <v>30</v>
      </c>
      <c r="Q316" s="7">
        <v>30</v>
      </c>
      <c r="R316" s="7"/>
      <c r="S316" s="7"/>
      <c r="T316" s="7"/>
      <c r="U316" s="7"/>
      <c r="V316" s="7">
        <f t="shared" si="8"/>
        <v>90</v>
      </c>
      <c r="W316" s="7">
        <f t="shared" si="9"/>
        <v>30</v>
      </c>
    </row>
    <row r="317" spans="1:23" ht="18.75" x14ac:dyDescent="0.3">
      <c r="A317" s="4">
        <v>316</v>
      </c>
      <c r="B317" s="7" t="s">
        <v>615</v>
      </c>
      <c r="C317" s="9" t="s">
        <v>616</v>
      </c>
      <c r="D317" s="8">
        <v>72</v>
      </c>
      <c r="E317" s="7"/>
      <c r="F317" s="7"/>
      <c r="G317" s="7"/>
      <c r="H317" s="7"/>
      <c r="I317" s="7">
        <v>12</v>
      </c>
      <c r="J317" s="7"/>
      <c r="K317" s="7">
        <v>24</v>
      </c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>
        <f t="shared" si="8"/>
        <v>36</v>
      </c>
      <c r="W317" s="7">
        <f t="shared" si="9"/>
        <v>36</v>
      </c>
    </row>
    <row r="318" spans="1:23" ht="18.75" x14ac:dyDescent="0.3">
      <c r="A318" s="4">
        <v>317</v>
      </c>
      <c r="B318" s="7" t="s">
        <v>617</v>
      </c>
      <c r="C318" s="9" t="s">
        <v>618</v>
      </c>
      <c r="D318" s="8">
        <v>16</v>
      </c>
      <c r="E318" s="7"/>
      <c r="F318" s="7"/>
      <c r="G318" s="7"/>
      <c r="H318" s="7"/>
      <c r="I318" s="7">
        <v>8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>
        <f t="shared" si="8"/>
        <v>8</v>
      </c>
      <c r="W318" s="7">
        <f t="shared" si="9"/>
        <v>8</v>
      </c>
    </row>
    <row r="319" spans="1:23" ht="18.75" x14ac:dyDescent="0.3">
      <c r="A319" s="4">
        <v>318</v>
      </c>
      <c r="B319" s="7" t="s">
        <v>619</v>
      </c>
      <c r="C319" s="9" t="s">
        <v>620</v>
      </c>
      <c r="D319" s="8">
        <v>14</v>
      </c>
      <c r="E319" s="7"/>
      <c r="F319" s="7"/>
      <c r="G319" s="7"/>
      <c r="H319" s="7"/>
      <c r="I319" s="7">
        <v>7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>
        <f t="shared" si="8"/>
        <v>7</v>
      </c>
      <c r="W319" s="7">
        <f t="shared" si="9"/>
        <v>7</v>
      </c>
    </row>
    <row r="320" spans="1:23" ht="18.75" x14ac:dyDescent="0.3">
      <c r="A320" s="4">
        <v>319</v>
      </c>
      <c r="B320" s="7" t="s">
        <v>621</v>
      </c>
      <c r="C320" s="9" t="s">
        <v>622</v>
      </c>
      <c r="D320" s="8">
        <v>70</v>
      </c>
      <c r="E320" s="7"/>
      <c r="F320" s="7"/>
      <c r="G320" s="7"/>
      <c r="H320" s="7">
        <v>2</v>
      </c>
      <c r="I320" s="7"/>
      <c r="J320" s="7"/>
      <c r="K320" s="7">
        <v>5</v>
      </c>
      <c r="L320" s="7"/>
      <c r="M320" s="7">
        <v>4</v>
      </c>
      <c r="N320" s="7"/>
      <c r="O320" s="7"/>
      <c r="P320" s="7">
        <v>6</v>
      </c>
      <c r="Q320" s="7">
        <v>1</v>
      </c>
      <c r="R320" s="7"/>
      <c r="S320" s="7"/>
      <c r="T320" s="7"/>
      <c r="U320" s="7"/>
      <c r="V320" s="7">
        <f t="shared" si="8"/>
        <v>18</v>
      </c>
      <c r="W320" s="7">
        <f t="shared" si="9"/>
        <v>52</v>
      </c>
    </row>
    <row r="321" spans="1:23" ht="18.75" x14ac:dyDescent="0.3">
      <c r="A321" s="4">
        <v>320</v>
      </c>
      <c r="B321" s="7" t="s">
        <v>623</v>
      </c>
      <c r="C321" s="9" t="s">
        <v>624</v>
      </c>
      <c r="D321" s="8">
        <v>2</v>
      </c>
      <c r="E321" s="7"/>
      <c r="F321" s="7"/>
      <c r="G321" s="7"/>
      <c r="H321" s="7"/>
      <c r="I321" s="7">
        <v>1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>
        <f t="shared" si="8"/>
        <v>1</v>
      </c>
      <c r="W321" s="7">
        <f t="shared" si="9"/>
        <v>1</v>
      </c>
    </row>
    <row r="322" spans="1:23" ht="18.75" x14ac:dyDescent="0.3">
      <c r="A322" s="4">
        <v>321</v>
      </c>
      <c r="B322" s="7" t="s">
        <v>625</v>
      </c>
      <c r="C322" s="9" t="s">
        <v>626</v>
      </c>
      <c r="D322" s="8">
        <v>2</v>
      </c>
      <c r="E322" s="7"/>
      <c r="F322" s="7"/>
      <c r="G322" s="7"/>
      <c r="H322" s="7"/>
      <c r="I322" s="7">
        <v>1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>
        <f t="shared" si="8"/>
        <v>1</v>
      </c>
      <c r="W322" s="7">
        <f t="shared" si="9"/>
        <v>1</v>
      </c>
    </row>
    <row r="323" spans="1:23" ht="18.75" x14ac:dyDescent="0.3">
      <c r="A323" s="4">
        <v>322</v>
      </c>
      <c r="B323" s="7" t="s">
        <v>627</v>
      </c>
      <c r="C323" s="9" t="s">
        <v>628</v>
      </c>
      <c r="D323" s="8">
        <v>5</v>
      </c>
      <c r="E323" s="7"/>
      <c r="F323" s="7"/>
      <c r="G323" s="7"/>
      <c r="H323" s="7"/>
      <c r="I323" s="7"/>
      <c r="J323" s="7"/>
      <c r="K323" s="7">
        <v>1</v>
      </c>
      <c r="L323" s="7"/>
      <c r="M323" s="7"/>
      <c r="N323" s="7"/>
      <c r="O323" s="7"/>
      <c r="P323" s="7">
        <v>2</v>
      </c>
      <c r="Q323" s="7"/>
      <c r="R323" s="7"/>
      <c r="S323" s="7"/>
      <c r="T323" s="7"/>
      <c r="U323" s="7"/>
      <c r="V323" s="7">
        <f t="shared" ref="V323:V386" si="10">SUM(E323:U323)</f>
        <v>3</v>
      </c>
      <c r="W323" s="7">
        <f t="shared" ref="W323:W386" si="11">D323-V323</f>
        <v>2</v>
      </c>
    </row>
    <row r="324" spans="1:23" ht="18.75" x14ac:dyDescent="0.3">
      <c r="A324" s="4">
        <v>323</v>
      </c>
      <c r="B324" s="7" t="s">
        <v>629</v>
      </c>
      <c r="C324" s="9" t="s">
        <v>630</v>
      </c>
      <c r="D324" s="8">
        <v>160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>
        <v>12</v>
      </c>
      <c r="Q324" s="7">
        <v>20</v>
      </c>
      <c r="R324" s="7"/>
      <c r="S324" s="7"/>
      <c r="T324" s="7"/>
      <c r="U324" s="7"/>
      <c r="V324" s="7">
        <f t="shared" si="10"/>
        <v>32</v>
      </c>
      <c r="W324" s="7">
        <f t="shared" si="11"/>
        <v>128</v>
      </c>
    </row>
    <row r="325" spans="1:23" ht="18.75" x14ac:dyDescent="0.3">
      <c r="A325" s="4">
        <v>324</v>
      </c>
      <c r="B325" s="7" t="s">
        <v>631</v>
      </c>
      <c r="C325" s="9" t="s">
        <v>632</v>
      </c>
      <c r="D325" s="8">
        <v>4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>
        <f t="shared" si="10"/>
        <v>0</v>
      </c>
      <c r="W325" s="7">
        <f t="shared" si="11"/>
        <v>4</v>
      </c>
    </row>
    <row r="326" spans="1:23" ht="18.75" x14ac:dyDescent="0.3">
      <c r="A326" s="4">
        <v>325</v>
      </c>
      <c r="B326" s="7" t="s">
        <v>633</v>
      </c>
      <c r="C326" s="9" t="s">
        <v>634</v>
      </c>
      <c r="D326" s="8">
        <v>4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>
        <f t="shared" si="10"/>
        <v>0</v>
      </c>
      <c r="W326" s="7">
        <f t="shared" si="11"/>
        <v>4</v>
      </c>
    </row>
    <row r="327" spans="1:23" ht="18.75" x14ac:dyDescent="0.3">
      <c r="A327" s="4">
        <v>326</v>
      </c>
      <c r="B327" s="7" t="s">
        <v>635</v>
      </c>
      <c r="C327" s="9" t="s">
        <v>636</v>
      </c>
      <c r="D327" s="8">
        <v>236</v>
      </c>
      <c r="E327" s="7"/>
      <c r="F327" s="7"/>
      <c r="G327" s="7"/>
      <c r="H327" s="7">
        <v>113</v>
      </c>
      <c r="I327" s="7"/>
      <c r="J327" s="7"/>
      <c r="K327" s="7">
        <v>15</v>
      </c>
      <c r="L327" s="7"/>
      <c r="M327" s="7"/>
      <c r="N327" s="7"/>
      <c r="O327" s="7"/>
      <c r="P327" s="7">
        <v>32</v>
      </c>
      <c r="Q327" s="7">
        <v>72</v>
      </c>
      <c r="R327" s="7"/>
      <c r="S327" s="7"/>
      <c r="T327" s="7"/>
      <c r="U327" s="7"/>
      <c r="V327" s="7">
        <f t="shared" si="10"/>
        <v>232</v>
      </c>
      <c r="W327" s="7">
        <f t="shared" si="11"/>
        <v>4</v>
      </c>
    </row>
    <row r="328" spans="1:23" ht="18.75" x14ac:dyDescent="0.3">
      <c r="A328" s="4">
        <v>327</v>
      </c>
      <c r="B328" s="7" t="s">
        <v>637</v>
      </c>
      <c r="C328" s="9" t="s">
        <v>638</v>
      </c>
      <c r="D328" s="8">
        <v>84</v>
      </c>
      <c r="E328" s="7"/>
      <c r="F328" s="7"/>
      <c r="G328" s="7"/>
      <c r="H328" s="7">
        <v>24</v>
      </c>
      <c r="I328" s="7"/>
      <c r="J328" s="7"/>
      <c r="K328" s="7"/>
      <c r="L328" s="7"/>
      <c r="M328" s="7"/>
      <c r="N328" s="7"/>
      <c r="O328" s="7"/>
      <c r="P328" s="7">
        <v>26</v>
      </c>
      <c r="Q328" s="7"/>
      <c r="R328" s="7"/>
      <c r="S328" s="7"/>
      <c r="T328" s="7"/>
      <c r="U328" s="7"/>
      <c r="V328" s="7">
        <f t="shared" si="10"/>
        <v>50</v>
      </c>
      <c r="W328" s="7">
        <f t="shared" si="11"/>
        <v>34</v>
      </c>
    </row>
    <row r="329" spans="1:23" ht="18.75" x14ac:dyDescent="0.3">
      <c r="A329" s="4">
        <v>328</v>
      </c>
      <c r="B329" s="7" t="s">
        <v>639</v>
      </c>
      <c r="C329" s="9" t="s">
        <v>640</v>
      </c>
      <c r="D329" s="8">
        <v>84</v>
      </c>
      <c r="E329" s="7"/>
      <c r="F329" s="7"/>
      <c r="G329" s="7"/>
      <c r="H329" s="7">
        <v>6</v>
      </c>
      <c r="I329" s="7"/>
      <c r="J329" s="7"/>
      <c r="K329" s="7">
        <v>10</v>
      </c>
      <c r="L329" s="7"/>
      <c r="M329" s="7"/>
      <c r="N329" s="7"/>
      <c r="O329" s="7"/>
      <c r="P329" s="7">
        <v>30</v>
      </c>
      <c r="Q329" s="7">
        <v>18</v>
      </c>
      <c r="R329" s="7"/>
      <c r="S329" s="7"/>
      <c r="T329" s="7"/>
      <c r="U329" s="7"/>
      <c r="V329" s="7">
        <f t="shared" si="10"/>
        <v>64</v>
      </c>
      <c r="W329" s="7">
        <f t="shared" si="11"/>
        <v>20</v>
      </c>
    </row>
    <row r="330" spans="1:23" ht="18.75" x14ac:dyDescent="0.3">
      <c r="A330" s="4">
        <v>329</v>
      </c>
      <c r="B330" s="7" t="s">
        <v>641</v>
      </c>
      <c r="C330" s="9" t="s">
        <v>642</v>
      </c>
      <c r="D330" s="8">
        <v>24</v>
      </c>
      <c r="E330" s="7">
        <v>1</v>
      </c>
      <c r="F330" s="7"/>
      <c r="G330" s="7"/>
      <c r="H330" s="7">
        <v>6</v>
      </c>
      <c r="I330" s="7"/>
      <c r="J330" s="7"/>
      <c r="K330" s="7"/>
      <c r="L330" s="7"/>
      <c r="M330" s="7"/>
      <c r="N330" s="7"/>
      <c r="O330" s="7"/>
      <c r="P330" s="7">
        <v>10</v>
      </c>
      <c r="Q330" s="7"/>
      <c r="R330" s="7"/>
      <c r="S330" s="7"/>
      <c r="T330" s="7"/>
      <c r="U330" s="7"/>
      <c r="V330" s="7">
        <f t="shared" si="10"/>
        <v>17</v>
      </c>
      <c r="W330" s="7">
        <f t="shared" si="11"/>
        <v>7</v>
      </c>
    </row>
    <row r="331" spans="1:23" ht="18.75" x14ac:dyDescent="0.3">
      <c r="A331" s="4">
        <v>330</v>
      </c>
      <c r="B331" s="7" t="s">
        <v>643</v>
      </c>
      <c r="C331" s="9" t="s">
        <v>644</v>
      </c>
      <c r="D331" s="8">
        <v>164</v>
      </c>
      <c r="E331" s="7"/>
      <c r="F331" s="7"/>
      <c r="G331" s="7"/>
      <c r="H331" s="7">
        <v>6</v>
      </c>
      <c r="I331" s="7"/>
      <c r="J331" s="7"/>
      <c r="K331" s="7"/>
      <c r="L331" s="7"/>
      <c r="M331" s="7"/>
      <c r="N331" s="7"/>
      <c r="O331" s="7"/>
      <c r="P331" s="7">
        <v>16</v>
      </c>
      <c r="Q331" s="7">
        <v>75</v>
      </c>
      <c r="R331" s="7"/>
      <c r="S331" s="7"/>
      <c r="T331" s="7"/>
      <c r="U331" s="7"/>
      <c r="V331" s="7">
        <f t="shared" si="10"/>
        <v>97</v>
      </c>
      <c r="W331" s="7">
        <f t="shared" si="11"/>
        <v>67</v>
      </c>
    </row>
    <row r="332" spans="1:23" ht="18.75" x14ac:dyDescent="0.3">
      <c r="A332" s="4">
        <v>331</v>
      </c>
      <c r="B332" s="7" t="s">
        <v>645</v>
      </c>
      <c r="C332" s="9" t="s">
        <v>646</v>
      </c>
      <c r="D332" s="8">
        <v>164</v>
      </c>
      <c r="E332" s="7"/>
      <c r="F332" s="7"/>
      <c r="G332" s="7"/>
      <c r="H332" s="7">
        <v>11</v>
      </c>
      <c r="I332" s="7"/>
      <c r="J332" s="7"/>
      <c r="K332" s="7"/>
      <c r="L332" s="7"/>
      <c r="M332" s="7"/>
      <c r="N332" s="7"/>
      <c r="O332" s="7"/>
      <c r="P332" s="7">
        <v>16</v>
      </c>
      <c r="Q332" s="7">
        <v>80</v>
      </c>
      <c r="R332" s="7"/>
      <c r="S332" s="7"/>
      <c r="T332" s="7"/>
      <c r="U332" s="7"/>
      <c r="V332" s="7">
        <f t="shared" si="10"/>
        <v>107</v>
      </c>
      <c r="W332" s="7">
        <f t="shared" si="11"/>
        <v>57</v>
      </c>
    </row>
    <row r="333" spans="1:23" ht="18.75" x14ac:dyDescent="0.3">
      <c r="A333" s="4">
        <v>332</v>
      </c>
      <c r="B333" s="7" t="s">
        <v>647</v>
      </c>
      <c r="C333" s="9" t="s">
        <v>648</v>
      </c>
      <c r="D333" s="8">
        <v>24</v>
      </c>
      <c r="E333" s="7"/>
      <c r="F333" s="7"/>
      <c r="G333" s="7"/>
      <c r="H333" s="7">
        <v>7</v>
      </c>
      <c r="I333" s="7"/>
      <c r="J333" s="7"/>
      <c r="K333" s="7"/>
      <c r="L333" s="7"/>
      <c r="M333" s="7"/>
      <c r="N333" s="7"/>
      <c r="O333" s="7"/>
      <c r="P333" s="7">
        <v>6</v>
      </c>
      <c r="Q333" s="7">
        <v>10</v>
      </c>
      <c r="R333" s="7"/>
      <c r="S333" s="7"/>
      <c r="T333" s="7"/>
      <c r="U333" s="7"/>
      <c r="V333" s="7">
        <f t="shared" si="10"/>
        <v>23</v>
      </c>
      <c r="W333" s="7">
        <f t="shared" si="11"/>
        <v>1</v>
      </c>
    </row>
    <row r="334" spans="1:23" ht="18.75" x14ac:dyDescent="0.3">
      <c r="A334" s="4">
        <v>333</v>
      </c>
      <c r="B334" s="7" t="s">
        <v>649</v>
      </c>
      <c r="C334" s="9" t="s">
        <v>650</v>
      </c>
      <c r="D334" s="8">
        <v>24</v>
      </c>
      <c r="E334" s="7"/>
      <c r="F334" s="7"/>
      <c r="G334" s="7"/>
      <c r="H334" s="7">
        <v>7</v>
      </c>
      <c r="I334" s="7"/>
      <c r="J334" s="7"/>
      <c r="K334" s="7"/>
      <c r="L334" s="7"/>
      <c r="M334" s="7"/>
      <c r="N334" s="7"/>
      <c r="O334" s="7"/>
      <c r="P334" s="7">
        <v>6</v>
      </c>
      <c r="Q334" s="7">
        <v>10</v>
      </c>
      <c r="R334" s="7"/>
      <c r="S334" s="7"/>
      <c r="T334" s="7"/>
      <c r="U334" s="7"/>
      <c r="V334" s="7">
        <f t="shared" si="10"/>
        <v>23</v>
      </c>
      <c r="W334" s="7">
        <f t="shared" si="11"/>
        <v>1</v>
      </c>
    </row>
    <row r="335" spans="1:23" ht="18.75" x14ac:dyDescent="0.3">
      <c r="A335" s="4">
        <v>334</v>
      </c>
      <c r="B335" s="7" t="s">
        <v>651</v>
      </c>
      <c r="C335" s="9" t="s">
        <v>652</v>
      </c>
      <c r="D335" s="8">
        <v>24</v>
      </c>
      <c r="E335" s="7"/>
      <c r="F335" s="7"/>
      <c r="G335" s="7"/>
      <c r="H335" s="7">
        <v>8</v>
      </c>
      <c r="I335" s="7"/>
      <c r="J335" s="7"/>
      <c r="K335" s="7"/>
      <c r="L335" s="7"/>
      <c r="M335" s="7"/>
      <c r="N335" s="7"/>
      <c r="O335" s="7"/>
      <c r="P335" s="7">
        <v>6</v>
      </c>
      <c r="Q335" s="7">
        <v>10</v>
      </c>
      <c r="R335" s="7"/>
      <c r="S335" s="7"/>
      <c r="T335" s="7"/>
      <c r="U335" s="7"/>
      <c r="V335" s="7">
        <f t="shared" si="10"/>
        <v>24</v>
      </c>
      <c r="W335" s="7">
        <f t="shared" si="11"/>
        <v>0</v>
      </c>
    </row>
    <row r="336" spans="1:23" ht="18.75" x14ac:dyDescent="0.3">
      <c r="A336" s="4">
        <v>335</v>
      </c>
      <c r="B336" s="7" t="s">
        <v>653</v>
      </c>
      <c r="C336" s="9" t="s">
        <v>654</v>
      </c>
      <c r="D336" s="8">
        <v>30</v>
      </c>
      <c r="E336" s="7"/>
      <c r="F336" s="7"/>
      <c r="G336" s="7"/>
      <c r="H336" s="7">
        <v>6</v>
      </c>
      <c r="I336" s="7"/>
      <c r="J336" s="7"/>
      <c r="K336" s="7"/>
      <c r="L336" s="7"/>
      <c r="M336" s="7"/>
      <c r="N336" s="7"/>
      <c r="O336" s="7"/>
      <c r="P336" s="7">
        <v>8</v>
      </c>
      <c r="Q336" s="7"/>
      <c r="R336" s="7"/>
      <c r="S336" s="7"/>
      <c r="T336" s="7"/>
      <c r="U336" s="7"/>
      <c r="V336" s="7">
        <f t="shared" si="10"/>
        <v>14</v>
      </c>
      <c r="W336" s="7">
        <f t="shared" si="11"/>
        <v>16</v>
      </c>
    </row>
    <row r="337" spans="1:23" ht="18.75" x14ac:dyDescent="0.3">
      <c r="A337" s="4">
        <v>336</v>
      </c>
      <c r="B337" s="7" t="s">
        <v>655</v>
      </c>
      <c r="C337" s="9" t="s">
        <v>656</v>
      </c>
      <c r="D337" s="8">
        <v>84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>
        <v>60</v>
      </c>
      <c r="R337" s="7"/>
      <c r="S337" s="7"/>
      <c r="T337" s="7"/>
      <c r="U337" s="7"/>
      <c r="V337" s="7">
        <f t="shared" si="10"/>
        <v>60</v>
      </c>
      <c r="W337" s="7">
        <f t="shared" si="11"/>
        <v>24</v>
      </c>
    </row>
    <row r="338" spans="1:23" ht="18.75" x14ac:dyDescent="0.3">
      <c r="A338" s="4">
        <v>337</v>
      </c>
      <c r="B338" s="7" t="s">
        <v>658</v>
      </c>
      <c r="C338" s="9" t="s">
        <v>659</v>
      </c>
      <c r="D338" s="8">
        <v>24</v>
      </c>
      <c r="E338" s="7"/>
      <c r="F338" s="7"/>
      <c r="G338" s="7"/>
      <c r="H338" s="7">
        <v>6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>
        <v>12</v>
      </c>
      <c r="V338" s="7">
        <f t="shared" si="10"/>
        <v>18</v>
      </c>
      <c r="W338" s="7">
        <f t="shared" si="11"/>
        <v>6</v>
      </c>
    </row>
    <row r="339" spans="1:23" ht="18.75" x14ac:dyDescent="0.3">
      <c r="A339" s="4">
        <v>338</v>
      </c>
      <c r="B339" s="7" t="s">
        <v>660</v>
      </c>
      <c r="C339" s="9" t="s">
        <v>661</v>
      </c>
      <c r="D339" s="8">
        <v>10</v>
      </c>
      <c r="E339" s="7"/>
      <c r="F339" s="7"/>
      <c r="G339" s="7"/>
      <c r="H339" s="7"/>
      <c r="I339" s="7"/>
      <c r="J339" s="7"/>
      <c r="K339" s="7">
        <v>2</v>
      </c>
      <c r="L339" s="7"/>
      <c r="M339" s="7"/>
      <c r="N339" s="7"/>
      <c r="O339" s="7"/>
      <c r="P339" s="7">
        <v>1</v>
      </c>
      <c r="Q339" s="7"/>
      <c r="R339" s="7"/>
      <c r="S339" s="7"/>
      <c r="T339" s="7"/>
      <c r="U339" s="7"/>
      <c r="V339" s="7">
        <f t="shared" si="10"/>
        <v>3</v>
      </c>
      <c r="W339" s="7">
        <f t="shared" si="11"/>
        <v>7</v>
      </c>
    </row>
    <row r="340" spans="1:23" ht="18.75" x14ac:dyDescent="0.3">
      <c r="A340" s="4">
        <v>339</v>
      </c>
      <c r="B340" s="7" t="s">
        <v>662</v>
      </c>
      <c r="C340" s="9" t="s">
        <v>663</v>
      </c>
      <c r="D340" s="8">
        <v>15</v>
      </c>
      <c r="E340" s="7"/>
      <c r="F340" s="7"/>
      <c r="G340" s="7"/>
      <c r="H340" s="7"/>
      <c r="I340" s="7"/>
      <c r="J340" s="7"/>
      <c r="K340" s="7"/>
      <c r="L340" s="7"/>
      <c r="M340" s="7">
        <v>1</v>
      </c>
      <c r="N340" s="7"/>
      <c r="O340" s="7"/>
      <c r="P340" s="7">
        <v>2</v>
      </c>
      <c r="Q340" s="7">
        <v>2</v>
      </c>
      <c r="R340" s="7">
        <v>1</v>
      </c>
      <c r="S340" s="7"/>
      <c r="T340" s="7"/>
      <c r="U340" s="7">
        <v>2</v>
      </c>
      <c r="V340" s="7">
        <f t="shared" si="10"/>
        <v>8</v>
      </c>
      <c r="W340" s="7">
        <f t="shared" si="11"/>
        <v>7</v>
      </c>
    </row>
    <row r="341" spans="1:23" ht="18.75" x14ac:dyDescent="0.3">
      <c r="A341" s="4">
        <v>340</v>
      </c>
      <c r="B341" s="7" t="s">
        <v>664</v>
      </c>
      <c r="C341" s="9" t="s">
        <v>665</v>
      </c>
      <c r="D341" s="8">
        <v>268</v>
      </c>
      <c r="E341" s="7"/>
      <c r="F341" s="7"/>
      <c r="G341" s="7"/>
      <c r="H341" s="7">
        <v>72</v>
      </c>
      <c r="I341" s="7"/>
      <c r="J341" s="7"/>
      <c r="K341" s="7">
        <v>72</v>
      </c>
      <c r="L341" s="7"/>
      <c r="M341" s="7"/>
      <c r="N341" s="7"/>
      <c r="O341" s="7"/>
      <c r="P341" s="7">
        <v>36</v>
      </c>
      <c r="Q341" s="7">
        <v>65</v>
      </c>
      <c r="R341" s="7"/>
      <c r="S341" s="7"/>
      <c r="T341" s="7"/>
      <c r="U341" s="7"/>
      <c r="V341" s="7">
        <f t="shared" si="10"/>
        <v>245</v>
      </c>
      <c r="W341" s="7">
        <f t="shared" si="11"/>
        <v>23</v>
      </c>
    </row>
    <row r="342" spans="1:23" ht="18.75" x14ac:dyDescent="0.3">
      <c r="A342" s="4">
        <v>341</v>
      </c>
      <c r="B342" s="7" t="s">
        <v>666</v>
      </c>
      <c r="C342" s="9" t="s">
        <v>667</v>
      </c>
      <c r="D342" s="8">
        <v>268</v>
      </c>
      <c r="E342" s="7"/>
      <c r="F342" s="7"/>
      <c r="G342" s="7"/>
      <c r="H342" s="7">
        <v>36</v>
      </c>
      <c r="I342" s="7"/>
      <c r="J342" s="7"/>
      <c r="K342" s="7"/>
      <c r="L342" s="7"/>
      <c r="M342" s="7"/>
      <c r="N342" s="7"/>
      <c r="O342" s="7"/>
      <c r="P342" s="7">
        <v>6</v>
      </c>
      <c r="Q342" s="7">
        <v>26</v>
      </c>
      <c r="R342" s="7"/>
      <c r="S342" s="7"/>
      <c r="T342" s="7"/>
      <c r="U342" s="7"/>
      <c r="V342" s="7">
        <f t="shared" si="10"/>
        <v>68</v>
      </c>
      <c r="W342" s="7">
        <f t="shared" si="11"/>
        <v>200</v>
      </c>
    </row>
    <row r="343" spans="1:23" ht="18.75" x14ac:dyDescent="0.3">
      <c r="A343" s="4">
        <v>342</v>
      </c>
      <c r="B343" s="7" t="s">
        <v>668</v>
      </c>
      <c r="C343" s="9" t="s">
        <v>669</v>
      </c>
      <c r="D343" s="8">
        <v>268</v>
      </c>
      <c r="E343" s="7"/>
      <c r="F343" s="7"/>
      <c r="G343" s="7"/>
      <c r="H343" s="7">
        <v>21</v>
      </c>
      <c r="I343" s="7"/>
      <c r="J343" s="7"/>
      <c r="K343" s="7"/>
      <c r="L343" s="7"/>
      <c r="M343" s="7"/>
      <c r="N343" s="7"/>
      <c r="O343" s="7"/>
      <c r="P343" s="7">
        <v>6</v>
      </c>
      <c r="Q343" s="7">
        <v>80</v>
      </c>
      <c r="R343" s="7"/>
      <c r="S343" s="7"/>
      <c r="T343" s="7"/>
      <c r="U343" s="7"/>
      <c r="V343" s="7">
        <f t="shared" si="10"/>
        <v>107</v>
      </c>
      <c r="W343" s="7">
        <f t="shared" si="11"/>
        <v>161</v>
      </c>
    </row>
    <row r="344" spans="1:23" ht="18.75" x14ac:dyDescent="0.3">
      <c r="A344" s="4">
        <v>343</v>
      </c>
      <c r="B344" s="7" t="s">
        <v>670</v>
      </c>
      <c r="C344" s="9" t="s">
        <v>671</v>
      </c>
      <c r="D344" s="8">
        <v>2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>
        <f t="shared" si="10"/>
        <v>0</v>
      </c>
      <c r="W344" s="7">
        <f t="shared" si="11"/>
        <v>2</v>
      </c>
    </row>
    <row r="345" spans="1:23" ht="18.75" x14ac:dyDescent="0.3">
      <c r="A345" s="4">
        <v>344</v>
      </c>
      <c r="B345" s="7" t="s">
        <v>672</v>
      </c>
      <c r="C345" s="9" t="s">
        <v>673</v>
      </c>
      <c r="D345" s="8">
        <v>2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>
        <f t="shared" si="10"/>
        <v>0</v>
      </c>
      <c r="W345" s="7">
        <f t="shared" si="11"/>
        <v>2</v>
      </c>
    </row>
    <row r="346" spans="1:23" ht="18.75" x14ac:dyDescent="0.3">
      <c r="A346" s="4">
        <v>345</v>
      </c>
      <c r="B346" s="7" t="s">
        <v>674</v>
      </c>
      <c r="C346" s="9" t="s">
        <v>675</v>
      </c>
      <c r="D346" s="8">
        <v>120</v>
      </c>
      <c r="E346" s="7"/>
      <c r="F346" s="7"/>
      <c r="G346" s="7"/>
      <c r="H346" s="7">
        <v>12</v>
      </c>
      <c r="I346" s="7"/>
      <c r="J346" s="7"/>
      <c r="K346" s="7"/>
      <c r="L346" s="7"/>
      <c r="M346" s="7"/>
      <c r="N346" s="7"/>
      <c r="O346" s="7"/>
      <c r="P346" s="7">
        <v>12</v>
      </c>
      <c r="Q346" s="7">
        <v>10</v>
      </c>
      <c r="R346" s="7">
        <v>2</v>
      </c>
      <c r="S346" s="7"/>
      <c r="T346" s="7"/>
      <c r="U346" s="7"/>
      <c r="V346" s="7">
        <f t="shared" si="10"/>
        <v>36</v>
      </c>
      <c r="W346" s="7">
        <f t="shared" si="11"/>
        <v>84</v>
      </c>
    </row>
    <row r="347" spans="1:23" ht="18.75" x14ac:dyDescent="0.3">
      <c r="A347" s="4">
        <v>346</v>
      </c>
      <c r="B347" s="7" t="s">
        <v>676</v>
      </c>
      <c r="C347" s="9" t="s">
        <v>677</v>
      </c>
      <c r="D347" s="8">
        <v>30</v>
      </c>
      <c r="E347" s="7"/>
      <c r="F347" s="7"/>
      <c r="G347" s="7"/>
      <c r="H347" s="7">
        <v>2</v>
      </c>
      <c r="I347" s="7"/>
      <c r="J347" s="7"/>
      <c r="K347" s="7"/>
      <c r="L347" s="7"/>
      <c r="M347" s="7"/>
      <c r="N347" s="7"/>
      <c r="O347" s="7"/>
      <c r="P347" s="7">
        <v>2</v>
      </c>
      <c r="Q347" s="7">
        <v>8</v>
      </c>
      <c r="R347" s="7"/>
      <c r="S347" s="7"/>
      <c r="T347" s="7"/>
      <c r="U347" s="7"/>
      <c r="V347" s="7">
        <f t="shared" si="10"/>
        <v>12</v>
      </c>
      <c r="W347" s="7">
        <f t="shared" si="11"/>
        <v>18</v>
      </c>
    </row>
    <row r="348" spans="1:23" ht="18.75" x14ac:dyDescent="0.3">
      <c r="A348" s="4">
        <v>347</v>
      </c>
      <c r="B348" s="7" t="s">
        <v>676</v>
      </c>
      <c r="C348" s="9" t="s">
        <v>678</v>
      </c>
      <c r="D348" s="8">
        <v>20</v>
      </c>
      <c r="E348" s="7"/>
      <c r="F348" s="7"/>
      <c r="G348" s="7"/>
      <c r="H348" s="7">
        <v>2</v>
      </c>
      <c r="I348" s="7"/>
      <c r="J348" s="7"/>
      <c r="K348" s="7"/>
      <c r="L348" s="7"/>
      <c r="M348" s="7"/>
      <c r="N348" s="7"/>
      <c r="O348" s="7"/>
      <c r="P348" s="7">
        <v>2</v>
      </c>
      <c r="Q348" s="7"/>
      <c r="R348" s="7"/>
      <c r="S348" s="7"/>
      <c r="T348" s="7"/>
      <c r="U348" s="7"/>
      <c r="V348" s="7">
        <f t="shared" si="10"/>
        <v>4</v>
      </c>
      <c r="W348" s="7">
        <f t="shared" si="11"/>
        <v>16</v>
      </c>
    </row>
    <row r="349" spans="1:23" ht="18.75" x14ac:dyDescent="0.3">
      <c r="A349" s="4">
        <v>348</v>
      </c>
      <c r="B349" s="7" t="s">
        <v>679</v>
      </c>
      <c r="C349" s="9" t="s">
        <v>680</v>
      </c>
      <c r="D349" s="8">
        <v>20</v>
      </c>
      <c r="E349" s="7"/>
      <c r="F349" s="7"/>
      <c r="G349" s="7"/>
      <c r="H349" s="7">
        <v>6</v>
      </c>
      <c r="I349" s="7"/>
      <c r="J349" s="7"/>
      <c r="K349" s="7">
        <v>7</v>
      </c>
      <c r="L349" s="7"/>
      <c r="M349" s="7"/>
      <c r="N349" s="7"/>
      <c r="O349" s="7"/>
      <c r="P349" s="7">
        <v>6</v>
      </c>
      <c r="Q349" s="7"/>
      <c r="R349" s="7"/>
      <c r="S349" s="7"/>
      <c r="T349" s="7"/>
      <c r="U349" s="7"/>
      <c r="V349" s="7">
        <f t="shared" si="10"/>
        <v>19</v>
      </c>
      <c r="W349" s="7">
        <f t="shared" si="11"/>
        <v>1</v>
      </c>
    </row>
    <row r="350" spans="1:23" ht="18.75" x14ac:dyDescent="0.3">
      <c r="A350" s="4">
        <v>349</v>
      </c>
      <c r="B350" s="7" t="s">
        <v>681</v>
      </c>
      <c r="C350" s="9" t="s">
        <v>682</v>
      </c>
      <c r="D350" s="8">
        <v>40</v>
      </c>
      <c r="E350" s="7"/>
      <c r="F350" s="7"/>
      <c r="G350" s="7"/>
      <c r="H350" s="7"/>
      <c r="I350" s="7"/>
      <c r="J350" s="7"/>
      <c r="K350" s="7">
        <v>12</v>
      </c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>
        <f t="shared" si="10"/>
        <v>12</v>
      </c>
      <c r="W350" s="7">
        <f t="shared" si="11"/>
        <v>28</v>
      </c>
    </row>
    <row r="351" spans="1:23" ht="18.75" x14ac:dyDescent="0.3">
      <c r="A351" s="4">
        <v>350</v>
      </c>
      <c r="B351" s="7" t="s">
        <v>683</v>
      </c>
      <c r="C351" s="9" t="s">
        <v>684</v>
      </c>
      <c r="D351" s="8">
        <v>10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>
        <v>8</v>
      </c>
      <c r="Q351" s="7"/>
      <c r="R351" s="7"/>
      <c r="S351" s="7"/>
      <c r="T351" s="7"/>
      <c r="U351" s="7"/>
      <c r="V351" s="7">
        <f t="shared" si="10"/>
        <v>8</v>
      </c>
      <c r="W351" s="7">
        <f t="shared" si="11"/>
        <v>2</v>
      </c>
    </row>
    <row r="352" spans="1:23" ht="18.75" x14ac:dyDescent="0.3">
      <c r="A352" s="4">
        <v>351</v>
      </c>
      <c r="B352" s="7" t="s">
        <v>685</v>
      </c>
      <c r="C352" s="9" t="s">
        <v>686</v>
      </c>
      <c r="D352" s="8">
        <v>10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>
        <f t="shared" si="10"/>
        <v>0</v>
      </c>
      <c r="W352" s="7">
        <f t="shared" si="11"/>
        <v>10</v>
      </c>
    </row>
    <row r="353" spans="1:23" ht="18.75" x14ac:dyDescent="0.3">
      <c r="A353" s="4">
        <v>352</v>
      </c>
      <c r="B353" s="7" t="s">
        <v>687</v>
      </c>
      <c r="C353" s="9" t="s">
        <v>688</v>
      </c>
      <c r="D353" s="8">
        <v>30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>
        <v>14</v>
      </c>
      <c r="Q353" s="7"/>
      <c r="R353" s="7"/>
      <c r="S353" s="7"/>
      <c r="T353" s="7"/>
      <c r="U353" s="7"/>
      <c r="V353" s="7">
        <f t="shared" si="10"/>
        <v>14</v>
      </c>
      <c r="W353" s="7">
        <f t="shared" si="11"/>
        <v>16</v>
      </c>
    </row>
    <row r="354" spans="1:23" ht="18.75" x14ac:dyDescent="0.3">
      <c r="A354" s="4">
        <v>353</v>
      </c>
      <c r="B354" s="7" t="s">
        <v>689</v>
      </c>
      <c r="C354" s="9" t="s">
        <v>690</v>
      </c>
      <c r="D354" s="8">
        <v>42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>
        <v>13</v>
      </c>
      <c r="Q354" s="7"/>
      <c r="R354" s="7"/>
      <c r="S354" s="7"/>
      <c r="T354" s="7"/>
      <c r="U354" s="7"/>
      <c r="V354" s="7">
        <f t="shared" si="10"/>
        <v>13</v>
      </c>
      <c r="W354" s="7">
        <f t="shared" si="11"/>
        <v>29</v>
      </c>
    </row>
    <row r="355" spans="1:23" ht="18.75" x14ac:dyDescent="0.3">
      <c r="A355" s="4">
        <v>354</v>
      </c>
      <c r="B355" s="7" t="s">
        <v>691</v>
      </c>
      <c r="C355" s="9" t="s">
        <v>692</v>
      </c>
      <c r="D355" s="8">
        <v>36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>
        <v>14</v>
      </c>
      <c r="Q355" s="7"/>
      <c r="R355" s="7"/>
      <c r="S355" s="7"/>
      <c r="T355" s="7"/>
      <c r="U355" s="7"/>
      <c r="V355" s="7">
        <f t="shared" si="10"/>
        <v>14</v>
      </c>
      <c r="W355" s="7">
        <f t="shared" si="11"/>
        <v>22</v>
      </c>
    </row>
    <row r="356" spans="1:23" ht="18.75" x14ac:dyDescent="0.3">
      <c r="A356" s="4">
        <v>355</v>
      </c>
      <c r="B356" s="7" t="s">
        <v>693</v>
      </c>
      <c r="C356" s="9" t="s">
        <v>694</v>
      </c>
      <c r="D356" s="8">
        <v>44</v>
      </c>
      <c r="E356" s="7"/>
      <c r="F356" s="7"/>
      <c r="G356" s="7"/>
      <c r="H356" s="7"/>
      <c r="I356" s="7"/>
      <c r="J356" s="7"/>
      <c r="K356" s="7">
        <v>22</v>
      </c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>
        <f t="shared" si="10"/>
        <v>22</v>
      </c>
      <c r="W356" s="7">
        <f t="shared" si="11"/>
        <v>22</v>
      </c>
    </row>
    <row r="357" spans="1:23" ht="18.75" x14ac:dyDescent="0.3">
      <c r="A357" s="4">
        <v>356</v>
      </c>
      <c r="B357" s="7" t="s">
        <v>695</v>
      </c>
      <c r="C357" s="9" t="s">
        <v>696</v>
      </c>
      <c r="D357" s="8">
        <v>44</v>
      </c>
      <c r="E357" s="7"/>
      <c r="F357" s="7"/>
      <c r="G357" s="7"/>
      <c r="H357" s="7"/>
      <c r="I357" s="7"/>
      <c r="J357" s="7"/>
      <c r="K357" s="7">
        <v>22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>
        <f t="shared" si="10"/>
        <v>22</v>
      </c>
      <c r="W357" s="7">
        <f t="shared" si="11"/>
        <v>22</v>
      </c>
    </row>
    <row r="358" spans="1:23" ht="18.75" x14ac:dyDescent="0.3">
      <c r="A358" s="4">
        <v>357</v>
      </c>
      <c r="B358" s="7" t="s">
        <v>697</v>
      </c>
      <c r="C358" s="9" t="s">
        <v>698</v>
      </c>
      <c r="D358" s="8">
        <v>104</v>
      </c>
      <c r="E358" s="7"/>
      <c r="F358" s="7"/>
      <c r="G358" s="7"/>
      <c r="H358" s="7"/>
      <c r="I358" s="7"/>
      <c r="J358" s="7"/>
      <c r="K358" s="7">
        <v>66</v>
      </c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>
        <f t="shared" si="10"/>
        <v>66</v>
      </c>
      <c r="W358" s="7">
        <f t="shared" si="11"/>
        <v>38</v>
      </c>
    </row>
    <row r="359" spans="1:23" ht="18.75" x14ac:dyDescent="0.3">
      <c r="A359" s="4">
        <v>358</v>
      </c>
      <c r="B359" s="7" t="s">
        <v>699</v>
      </c>
      <c r="C359" s="9" t="s">
        <v>700</v>
      </c>
      <c r="D359" s="8">
        <v>26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>
        <f t="shared" si="10"/>
        <v>0</v>
      </c>
      <c r="W359" s="7">
        <f t="shared" si="11"/>
        <v>26</v>
      </c>
    </row>
    <row r="360" spans="1:23" ht="18.75" x14ac:dyDescent="0.3">
      <c r="A360" s="4">
        <v>359</v>
      </c>
      <c r="B360" s="7" t="s">
        <v>701</v>
      </c>
      <c r="C360" s="9" t="s">
        <v>702</v>
      </c>
      <c r="D360" s="8">
        <v>40</v>
      </c>
      <c r="E360" s="7"/>
      <c r="F360" s="7"/>
      <c r="G360" s="7"/>
      <c r="H360" s="7"/>
      <c r="I360" s="7"/>
      <c r="J360" s="7"/>
      <c r="K360" s="7">
        <v>10</v>
      </c>
      <c r="L360" s="7"/>
      <c r="M360" s="7"/>
      <c r="N360" s="7"/>
      <c r="O360" s="7"/>
      <c r="P360" s="7">
        <v>10</v>
      </c>
      <c r="Q360" s="7"/>
      <c r="R360" s="7"/>
      <c r="S360" s="7"/>
      <c r="T360" s="7"/>
      <c r="U360" s="7"/>
      <c r="V360" s="7">
        <f t="shared" si="10"/>
        <v>20</v>
      </c>
      <c r="W360" s="7">
        <f t="shared" si="11"/>
        <v>20</v>
      </c>
    </row>
    <row r="361" spans="1:23" ht="18.75" x14ac:dyDescent="0.3">
      <c r="A361" s="4">
        <v>360</v>
      </c>
      <c r="B361" s="7" t="s">
        <v>703</v>
      </c>
      <c r="C361" s="9" t="s">
        <v>704</v>
      </c>
      <c r="D361" s="8">
        <v>20</v>
      </c>
      <c r="E361" s="7"/>
      <c r="F361" s="7"/>
      <c r="G361" s="7"/>
      <c r="H361" s="7"/>
      <c r="I361" s="7"/>
      <c r="J361" s="7"/>
      <c r="K361" s="7">
        <v>11</v>
      </c>
      <c r="L361" s="7"/>
      <c r="M361" s="7"/>
      <c r="N361" s="7"/>
      <c r="O361" s="7"/>
      <c r="P361" s="7">
        <v>3</v>
      </c>
      <c r="Q361" s="7"/>
      <c r="R361" s="7"/>
      <c r="S361" s="7"/>
      <c r="T361" s="7"/>
      <c r="U361" s="7"/>
      <c r="V361" s="7">
        <f t="shared" si="10"/>
        <v>14</v>
      </c>
      <c r="W361" s="7">
        <f t="shared" si="11"/>
        <v>6</v>
      </c>
    </row>
    <row r="362" spans="1:23" ht="18.75" x14ac:dyDescent="0.3">
      <c r="A362" s="4">
        <v>361</v>
      </c>
      <c r="B362" s="7" t="s">
        <v>705</v>
      </c>
      <c r="C362" s="9" t="s">
        <v>706</v>
      </c>
      <c r="D362" s="8">
        <v>105</v>
      </c>
      <c r="E362" s="7"/>
      <c r="F362" s="7"/>
      <c r="G362" s="7"/>
      <c r="H362" s="7"/>
      <c r="I362" s="7"/>
      <c r="J362" s="7"/>
      <c r="K362" s="7">
        <v>14</v>
      </c>
      <c r="L362" s="7"/>
      <c r="M362" s="7"/>
      <c r="N362" s="7"/>
      <c r="O362" s="7"/>
      <c r="P362" s="7">
        <v>23</v>
      </c>
      <c r="Q362" s="7"/>
      <c r="R362" s="7"/>
      <c r="S362" s="7"/>
      <c r="T362" s="7"/>
      <c r="U362" s="7"/>
      <c r="V362" s="7">
        <f t="shared" si="10"/>
        <v>37</v>
      </c>
      <c r="W362" s="7">
        <f t="shared" si="11"/>
        <v>68</v>
      </c>
    </row>
    <row r="363" spans="1:23" ht="18.75" x14ac:dyDescent="0.3">
      <c r="A363" s="4">
        <v>362</v>
      </c>
      <c r="B363" s="7" t="s">
        <v>707</v>
      </c>
      <c r="C363" s="9" t="s">
        <v>708</v>
      </c>
      <c r="D363" s="8">
        <v>12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>
        <f t="shared" si="10"/>
        <v>0</v>
      </c>
      <c r="W363" s="7">
        <f t="shared" si="11"/>
        <v>12</v>
      </c>
    </row>
    <row r="364" spans="1:23" ht="18.75" x14ac:dyDescent="0.3">
      <c r="A364" s="4">
        <v>363</v>
      </c>
      <c r="B364" s="7" t="s">
        <v>709</v>
      </c>
      <c r="C364" s="9" t="s">
        <v>710</v>
      </c>
      <c r="D364" s="8">
        <v>2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>
        <f t="shared" si="10"/>
        <v>0</v>
      </c>
      <c r="W364" s="7">
        <f t="shared" si="11"/>
        <v>2</v>
      </c>
    </row>
    <row r="365" spans="1:23" ht="18.75" x14ac:dyDescent="0.3">
      <c r="A365" s="4">
        <v>364</v>
      </c>
      <c r="B365" s="7" t="s">
        <v>711</v>
      </c>
      <c r="C365" s="9" t="s">
        <v>712</v>
      </c>
      <c r="D365" s="8">
        <v>63</v>
      </c>
      <c r="E365" s="7"/>
      <c r="F365" s="7"/>
      <c r="G365" s="7"/>
      <c r="H365" s="7"/>
      <c r="I365" s="7"/>
      <c r="J365" s="7"/>
      <c r="K365" s="7">
        <v>21</v>
      </c>
      <c r="L365" s="7"/>
      <c r="M365" s="7"/>
      <c r="N365" s="7"/>
      <c r="O365" s="7"/>
      <c r="P365" s="7"/>
      <c r="Q365" s="7">
        <v>21</v>
      </c>
      <c r="R365" s="7"/>
      <c r="S365" s="7"/>
      <c r="T365" s="7"/>
      <c r="U365" s="7"/>
      <c r="V365" s="7">
        <f t="shared" si="10"/>
        <v>42</v>
      </c>
      <c r="W365" s="7">
        <f t="shared" si="11"/>
        <v>21</v>
      </c>
    </row>
    <row r="366" spans="1:23" ht="18.75" x14ac:dyDescent="0.3">
      <c r="A366" s="4">
        <v>365</v>
      </c>
      <c r="B366" s="7" t="s">
        <v>713</v>
      </c>
      <c r="C366" s="9" t="s">
        <v>714</v>
      </c>
      <c r="D366" s="8">
        <v>63</v>
      </c>
      <c r="E366" s="7"/>
      <c r="F366" s="7"/>
      <c r="G366" s="7"/>
      <c r="H366" s="7"/>
      <c r="I366" s="7"/>
      <c r="J366" s="7"/>
      <c r="K366" s="7">
        <v>21</v>
      </c>
      <c r="L366" s="7"/>
      <c r="M366" s="7"/>
      <c r="N366" s="7"/>
      <c r="O366" s="7"/>
      <c r="P366" s="7">
        <v>21</v>
      </c>
      <c r="Q366" s="7">
        <v>63</v>
      </c>
      <c r="R366" s="7"/>
      <c r="S366" s="7"/>
      <c r="T366" s="7"/>
      <c r="U366" s="7"/>
      <c r="V366" s="7">
        <f t="shared" si="10"/>
        <v>105</v>
      </c>
      <c r="W366" s="7">
        <f t="shared" si="11"/>
        <v>-42</v>
      </c>
    </row>
    <row r="367" spans="1:23" ht="18.75" x14ac:dyDescent="0.3">
      <c r="A367" s="4">
        <v>366</v>
      </c>
      <c r="B367" s="7" t="s">
        <v>715</v>
      </c>
      <c r="C367" s="9" t="s">
        <v>716</v>
      </c>
      <c r="D367" s="8">
        <v>63</v>
      </c>
      <c r="E367" s="7"/>
      <c r="F367" s="7"/>
      <c r="G367" s="7"/>
      <c r="H367" s="7"/>
      <c r="I367" s="7"/>
      <c r="J367" s="7"/>
      <c r="K367" s="7">
        <v>21</v>
      </c>
      <c r="L367" s="7"/>
      <c r="M367" s="7"/>
      <c r="N367" s="7"/>
      <c r="O367" s="7"/>
      <c r="P367" s="7">
        <v>21</v>
      </c>
      <c r="Q367" s="7">
        <v>21</v>
      </c>
      <c r="R367" s="7"/>
      <c r="S367" s="7"/>
      <c r="T367" s="7"/>
      <c r="U367" s="7"/>
      <c r="V367" s="7">
        <f t="shared" si="10"/>
        <v>63</v>
      </c>
      <c r="W367" s="7">
        <f t="shared" si="11"/>
        <v>0</v>
      </c>
    </row>
    <row r="368" spans="1:23" ht="18.75" x14ac:dyDescent="0.3">
      <c r="A368" s="4">
        <v>367</v>
      </c>
      <c r="B368" s="7" t="s">
        <v>717</v>
      </c>
      <c r="C368" s="9" t="s">
        <v>718</v>
      </c>
      <c r="D368" s="8">
        <v>1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>
        <f t="shared" si="10"/>
        <v>0</v>
      </c>
      <c r="W368" s="7">
        <f t="shared" si="11"/>
        <v>1</v>
      </c>
    </row>
    <row r="369" spans="1:23" ht="18.75" x14ac:dyDescent="0.3">
      <c r="A369" s="4">
        <v>368</v>
      </c>
      <c r="B369" s="7" t="s">
        <v>719</v>
      </c>
      <c r="C369" s="9" t="s">
        <v>720</v>
      </c>
      <c r="D369" s="8">
        <v>60</v>
      </c>
      <c r="E369" s="7"/>
      <c r="F369" s="7"/>
      <c r="G369" s="7"/>
      <c r="H369" s="7"/>
      <c r="I369" s="7"/>
      <c r="J369" s="7"/>
      <c r="K369" s="7">
        <v>15</v>
      </c>
      <c r="L369" s="7"/>
      <c r="M369" s="7"/>
      <c r="N369" s="7"/>
      <c r="O369" s="7"/>
      <c r="P369" s="7"/>
      <c r="Q369" s="7">
        <v>45</v>
      </c>
      <c r="R369" s="7"/>
      <c r="S369" s="7"/>
      <c r="T369" s="7"/>
      <c r="U369" s="7"/>
      <c r="V369" s="7">
        <f t="shared" si="10"/>
        <v>60</v>
      </c>
      <c r="W369" s="7">
        <f t="shared" si="11"/>
        <v>0</v>
      </c>
    </row>
    <row r="370" spans="1:23" ht="18.75" x14ac:dyDescent="0.3">
      <c r="A370" s="4">
        <v>369</v>
      </c>
      <c r="B370" s="7" t="s">
        <v>721</v>
      </c>
      <c r="C370" s="9" t="s">
        <v>722</v>
      </c>
      <c r="D370" s="8">
        <v>60</v>
      </c>
      <c r="E370" s="7"/>
      <c r="F370" s="7"/>
      <c r="G370" s="7"/>
      <c r="H370" s="7"/>
      <c r="I370" s="7"/>
      <c r="J370" s="7"/>
      <c r="K370" s="7">
        <v>15</v>
      </c>
      <c r="L370" s="7"/>
      <c r="M370" s="7"/>
      <c r="N370" s="7"/>
      <c r="O370" s="7"/>
      <c r="P370" s="7">
        <v>15</v>
      </c>
      <c r="Q370" s="7">
        <v>15</v>
      </c>
      <c r="R370" s="7"/>
      <c r="S370" s="7"/>
      <c r="T370" s="7"/>
      <c r="U370" s="7"/>
      <c r="V370" s="7">
        <f t="shared" si="10"/>
        <v>45</v>
      </c>
      <c r="W370" s="7">
        <f t="shared" si="11"/>
        <v>15</v>
      </c>
    </row>
    <row r="371" spans="1:23" ht="18.75" x14ac:dyDescent="0.3">
      <c r="A371" s="4">
        <v>370</v>
      </c>
      <c r="B371" s="7" t="s">
        <v>723</v>
      </c>
      <c r="C371" s="9" t="s">
        <v>724</v>
      </c>
      <c r="D371" s="8">
        <v>120</v>
      </c>
      <c r="E371" s="7"/>
      <c r="F371" s="7"/>
      <c r="G371" s="7"/>
      <c r="H371" s="7"/>
      <c r="I371" s="7"/>
      <c r="J371" s="7"/>
      <c r="K371" s="7">
        <v>33</v>
      </c>
      <c r="L371" s="7"/>
      <c r="M371" s="7"/>
      <c r="N371" s="7"/>
      <c r="O371" s="7"/>
      <c r="P371" s="7"/>
      <c r="Q371" s="7">
        <v>20</v>
      </c>
      <c r="R371" s="7"/>
      <c r="S371" s="7"/>
      <c r="T371" s="7"/>
      <c r="U371" s="7"/>
      <c r="V371" s="7">
        <f t="shared" si="10"/>
        <v>53</v>
      </c>
      <c r="W371" s="7">
        <f t="shared" si="11"/>
        <v>67</v>
      </c>
    </row>
    <row r="372" spans="1:23" ht="18.75" x14ac:dyDescent="0.3">
      <c r="A372" s="4">
        <v>371</v>
      </c>
      <c r="B372" s="7" t="s">
        <v>725</v>
      </c>
      <c r="C372" s="9" t="s">
        <v>726</v>
      </c>
      <c r="D372" s="8">
        <v>60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>
        <v>20</v>
      </c>
      <c r="R372" s="7"/>
      <c r="S372" s="7"/>
      <c r="T372" s="7"/>
      <c r="U372" s="7"/>
      <c r="V372" s="7">
        <f t="shared" si="10"/>
        <v>20</v>
      </c>
      <c r="W372" s="7">
        <f t="shared" si="11"/>
        <v>40</v>
      </c>
    </row>
    <row r="373" spans="1:23" ht="18.75" x14ac:dyDescent="0.3">
      <c r="A373" s="4">
        <v>372</v>
      </c>
      <c r="B373" s="7" t="s">
        <v>727</v>
      </c>
      <c r="C373" s="9" t="s">
        <v>728</v>
      </c>
      <c r="D373" s="8">
        <v>120</v>
      </c>
      <c r="E373" s="7"/>
      <c r="F373" s="7"/>
      <c r="G373" s="7"/>
      <c r="H373" s="7"/>
      <c r="I373" s="7"/>
      <c r="J373" s="7"/>
      <c r="K373" s="7">
        <v>33</v>
      </c>
      <c r="L373" s="7"/>
      <c r="M373" s="7"/>
      <c r="N373" s="7"/>
      <c r="O373" s="7"/>
      <c r="P373" s="7">
        <v>20</v>
      </c>
      <c r="Q373" s="7">
        <v>20</v>
      </c>
      <c r="R373" s="7"/>
      <c r="S373" s="7"/>
      <c r="T373" s="7"/>
      <c r="U373" s="7"/>
      <c r="V373" s="7">
        <f t="shared" si="10"/>
        <v>73</v>
      </c>
      <c r="W373" s="7">
        <f t="shared" si="11"/>
        <v>47</v>
      </c>
    </row>
    <row r="374" spans="1:23" ht="18.75" x14ac:dyDescent="0.3">
      <c r="A374" s="4">
        <v>373</v>
      </c>
      <c r="B374" s="7" t="s">
        <v>729</v>
      </c>
      <c r="C374" s="9" t="s">
        <v>730</v>
      </c>
      <c r="D374" s="8">
        <v>60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>
        <f t="shared" si="10"/>
        <v>0</v>
      </c>
      <c r="W374" s="7">
        <f t="shared" si="11"/>
        <v>60</v>
      </c>
    </row>
    <row r="375" spans="1:23" ht="18.75" x14ac:dyDescent="0.3">
      <c r="A375" s="4">
        <v>374</v>
      </c>
      <c r="B375" s="7" t="s">
        <v>657</v>
      </c>
      <c r="C375" s="9" t="s">
        <v>731</v>
      </c>
      <c r="D375" s="8">
        <v>120</v>
      </c>
      <c r="E375" s="7"/>
      <c r="F375" s="7"/>
      <c r="G375" s="7"/>
      <c r="H375" s="7">
        <v>6</v>
      </c>
      <c r="I375" s="7"/>
      <c r="J375" s="7"/>
      <c r="K375" s="7">
        <v>28</v>
      </c>
      <c r="L375" s="7"/>
      <c r="M375" s="7"/>
      <c r="N375" s="7"/>
      <c r="O375" s="7"/>
      <c r="P375" s="7">
        <v>6</v>
      </c>
      <c r="Q375" s="7">
        <v>80</v>
      </c>
      <c r="R375" s="7"/>
      <c r="S375" s="7"/>
      <c r="T375" s="7"/>
      <c r="U375" s="7">
        <v>4</v>
      </c>
      <c r="V375" s="7">
        <f t="shared" si="10"/>
        <v>124</v>
      </c>
      <c r="W375" s="7">
        <f t="shared" si="11"/>
        <v>-4</v>
      </c>
    </row>
    <row r="376" spans="1:23" ht="18.75" x14ac:dyDescent="0.3">
      <c r="A376" s="4">
        <v>375</v>
      </c>
      <c r="B376" s="7" t="s">
        <v>732</v>
      </c>
      <c r="C376" s="9" t="s">
        <v>733</v>
      </c>
      <c r="D376" s="8">
        <v>24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>
        <v>10</v>
      </c>
      <c r="Q376" s="7">
        <v>14</v>
      </c>
      <c r="R376" s="7"/>
      <c r="S376" s="7"/>
      <c r="T376" s="7"/>
      <c r="U376" s="7"/>
      <c r="V376" s="7">
        <f t="shared" si="10"/>
        <v>24</v>
      </c>
      <c r="W376" s="7">
        <f t="shared" si="11"/>
        <v>0</v>
      </c>
    </row>
    <row r="377" spans="1:23" ht="18.75" x14ac:dyDescent="0.3">
      <c r="A377" s="4">
        <v>376</v>
      </c>
      <c r="B377" s="7" t="s">
        <v>734</v>
      </c>
      <c r="C377" s="9" t="s">
        <v>735</v>
      </c>
      <c r="D377" s="8">
        <v>24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>
        <v>10</v>
      </c>
      <c r="Q377" s="7">
        <v>14</v>
      </c>
      <c r="R377" s="7"/>
      <c r="S377" s="7"/>
      <c r="T377" s="7"/>
      <c r="U377" s="7"/>
      <c r="V377" s="7">
        <f t="shared" si="10"/>
        <v>24</v>
      </c>
      <c r="W377" s="7">
        <f t="shared" si="11"/>
        <v>0</v>
      </c>
    </row>
    <row r="378" spans="1:23" ht="18.75" x14ac:dyDescent="0.3">
      <c r="A378" s="4">
        <v>377</v>
      </c>
      <c r="B378" s="7" t="s">
        <v>736</v>
      </c>
      <c r="C378" s="9" t="s">
        <v>737</v>
      </c>
      <c r="D378" s="8">
        <v>42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>
        <v>14</v>
      </c>
      <c r="R378" s="7"/>
      <c r="S378" s="7"/>
      <c r="T378" s="7"/>
      <c r="U378" s="7"/>
      <c r="V378" s="7">
        <f t="shared" si="10"/>
        <v>14</v>
      </c>
      <c r="W378" s="7">
        <f t="shared" si="11"/>
        <v>28</v>
      </c>
    </row>
    <row r="379" spans="1:23" ht="18.75" x14ac:dyDescent="0.3">
      <c r="A379" s="4">
        <v>378</v>
      </c>
      <c r="B379" s="13" t="s">
        <v>738</v>
      </c>
      <c r="C379" s="14" t="s">
        <v>739</v>
      </c>
      <c r="D379" s="15">
        <v>40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>
        <v>10</v>
      </c>
      <c r="Q379" s="7">
        <v>6</v>
      </c>
      <c r="R379" s="7"/>
      <c r="S379" s="7"/>
      <c r="T379" s="7"/>
      <c r="U379" s="7"/>
      <c r="V379" s="7">
        <f t="shared" si="10"/>
        <v>16</v>
      </c>
      <c r="W379" s="7">
        <f t="shared" si="11"/>
        <v>24</v>
      </c>
    </row>
    <row r="380" spans="1:23" ht="18.75" x14ac:dyDescent="0.3">
      <c r="A380" s="4">
        <v>379</v>
      </c>
      <c r="B380" s="13" t="s">
        <v>740</v>
      </c>
      <c r="C380" s="14" t="s">
        <v>741</v>
      </c>
      <c r="D380" s="15">
        <v>33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>
        <v>6</v>
      </c>
      <c r="R380" s="7"/>
      <c r="S380" s="7"/>
      <c r="T380" s="7"/>
      <c r="U380" s="7"/>
      <c r="V380" s="7">
        <f t="shared" si="10"/>
        <v>6</v>
      </c>
      <c r="W380" s="7">
        <f t="shared" si="11"/>
        <v>27</v>
      </c>
    </row>
    <row r="381" spans="1:23" ht="18.75" x14ac:dyDescent="0.3">
      <c r="A381" s="4">
        <v>380</v>
      </c>
      <c r="B381" s="13" t="s">
        <v>742</v>
      </c>
      <c r="C381" s="14" t="s">
        <v>743</v>
      </c>
      <c r="D381" s="15">
        <v>51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>
        <v>10</v>
      </c>
      <c r="Q381" s="7">
        <v>3</v>
      </c>
      <c r="R381" s="7"/>
      <c r="S381" s="7"/>
      <c r="T381" s="7"/>
      <c r="U381" s="7"/>
      <c r="V381" s="7">
        <f t="shared" si="10"/>
        <v>13</v>
      </c>
      <c r="W381" s="7">
        <f t="shared" si="11"/>
        <v>38</v>
      </c>
    </row>
    <row r="382" spans="1:23" ht="18.75" x14ac:dyDescent="0.3">
      <c r="A382" s="4">
        <v>381</v>
      </c>
      <c r="B382" s="7" t="s">
        <v>744</v>
      </c>
      <c r="C382" s="9" t="s">
        <v>745</v>
      </c>
      <c r="D382" s="8">
        <v>120</v>
      </c>
      <c r="E382" s="7">
        <v>10</v>
      </c>
      <c r="F382" s="7"/>
      <c r="G382" s="7"/>
      <c r="H382" s="7">
        <v>6</v>
      </c>
      <c r="I382" s="7"/>
      <c r="J382" s="7"/>
      <c r="K382" s="7"/>
      <c r="L382" s="7"/>
      <c r="M382" s="7"/>
      <c r="N382" s="7"/>
      <c r="O382" s="7"/>
      <c r="P382" s="7">
        <v>27</v>
      </c>
      <c r="Q382" s="7">
        <v>20</v>
      </c>
      <c r="R382" s="7"/>
      <c r="S382" s="7"/>
      <c r="T382" s="7"/>
      <c r="U382" s="7"/>
      <c r="V382" s="7">
        <f t="shared" si="10"/>
        <v>63</v>
      </c>
      <c r="W382" s="7">
        <f t="shared" si="11"/>
        <v>57</v>
      </c>
    </row>
    <row r="383" spans="1:23" ht="18.75" x14ac:dyDescent="0.3">
      <c r="A383" s="4">
        <v>382</v>
      </c>
      <c r="B383" s="7" t="s">
        <v>746</v>
      </c>
      <c r="C383" s="9" t="s">
        <v>747</v>
      </c>
      <c r="D383" s="8">
        <v>120</v>
      </c>
      <c r="E383" s="7">
        <v>20</v>
      </c>
      <c r="F383" s="7"/>
      <c r="G383" s="7"/>
      <c r="H383" s="7">
        <v>17</v>
      </c>
      <c r="I383" s="7"/>
      <c r="J383" s="7"/>
      <c r="K383" s="7"/>
      <c r="L383" s="7"/>
      <c r="M383" s="7"/>
      <c r="N383" s="7"/>
      <c r="O383" s="7"/>
      <c r="P383" s="7">
        <v>15</v>
      </c>
      <c r="Q383" s="7">
        <v>20</v>
      </c>
      <c r="R383" s="7"/>
      <c r="S383" s="7"/>
      <c r="T383" s="7"/>
      <c r="U383" s="7"/>
      <c r="V383" s="7">
        <f t="shared" si="10"/>
        <v>72</v>
      </c>
      <c r="W383" s="7">
        <f t="shared" si="11"/>
        <v>48</v>
      </c>
    </row>
    <row r="384" spans="1:23" ht="18.75" x14ac:dyDescent="0.3">
      <c r="A384" s="4">
        <v>383</v>
      </c>
      <c r="B384" s="13" t="s">
        <v>748</v>
      </c>
      <c r="C384" s="14" t="s">
        <v>749</v>
      </c>
      <c r="D384" s="15">
        <v>132</v>
      </c>
      <c r="E384" s="7"/>
      <c r="F384" s="7"/>
      <c r="G384" s="7"/>
      <c r="H384" s="7">
        <v>6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>
        <f t="shared" si="10"/>
        <v>6</v>
      </c>
      <c r="W384" s="7">
        <f t="shared" si="11"/>
        <v>126</v>
      </c>
    </row>
    <row r="385" spans="1:23" ht="18.75" x14ac:dyDescent="0.3">
      <c r="A385" s="4">
        <v>384</v>
      </c>
      <c r="B385" s="13" t="s">
        <v>750</v>
      </c>
      <c r="C385" s="14" t="s">
        <v>751</v>
      </c>
      <c r="D385" s="15">
        <v>120</v>
      </c>
      <c r="E385" s="7"/>
      <c r="F385" s="7"/>
      <c r="G385" s="7"/>
      <c r="H385" s="7">
        <v>22</v>
      </c>
      <c r="I385" s="7"/>
      <c r="J385" s="7"/>
      <c r="K385" s="7"/>
      <c r="L385" s="7"/>
      <c r="M385" s="7"/>
      <c r="N385" s="7"/>
      <c r="O385" s="7"/>
      <c r="P385" s="7">
        <v>6</v>
      </c>
      <c r="Q385" s="7"/>
      <c r="R385" s="7"/>
      <c r="S385" s="7"/>
      <c r="T385" s="7"/>
      <c r="U385" s="7"/>
      <c r="V385" s="7">
        <f t="shared" si="10"/>
        <v>28</v>
      </c>
      <c r="W385" s="7">
        <f t="shared" si="11"/>
        <v>92</v>
      </c>
    </row>
    <row r="386" spans="1:23" ht="18.75" x14ac:dyDescent="0.3">
      <c r="A386" s="4">
        <v>385</v>
      </c>
      <c r="B386" s="13" t="s">
        <v>753</v>
      </c>
      <c r="C386" s="14" t="s">
        <v>754</v>
      </c>
      <c r="D386" s="15">
        <v>1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>
        <f t="shared" si="10"/>
        <v>0</v>
      </c>
      <c r="W386" s="7">
        <f t="shared" si="11"/>
        <v>1</v>
      </c>
    </row>
    <row r="387" spans="1:23" ht="18.75" x14ac:dyDescent="0.3">
      <c r="A387" s="4">
        <v>386</v>
      </c>
      <c r="B387" s="7" t="s">
        <v>755</v>
      </c>
      <c r="C387" s="9" t="s">
        <v>756</v>
      </c>
      <c r="D387" s="15">
        <v>14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>
        <f t="shared" ref="V387:V450" si="12">SUM(E387:U387)</f>
        <v>0</v>
      </c>
      <c r="W387" s="7">
        <f t="shared" ref="W387:W450" si="13">D387-V387</f>
        <v>14</v>
      </c>
    </row>
    <row r="388" spans="1:23" ht="18.75" x14ac:dyDescent="0.3">
      <c r="A388" s="4">
        <v>387</v>
      </c>
      <c r="B388" s="7" t="s">
        <v>757</v>
      </c>
      <c r="C388" s="9" t="s">
        <v>758</v>
      </c>
      <c r="D388" s="8">
        <v>240</v>
      </c>
      <c r="E388" s="7"/>
      <c r="F388" s="7"/>
      <c r="G388" s="7"/>
      <c r="H388" s="7">
        <v>48</v>
      </c>
      <c r="I388" s="7"/>
      <c r="J388" s="7"/>
      <c r="K388" s="7"/>
      <c r="L388" s="7"/>
      <c r="M388" s="7"/>
      <c r="N388" s="7"/>
      <c r="O388" s="7"/>
      <c r="P388" s="7">
        <v>20</v>
      </c>
      <c r="Q388" s="7">
        <v>20</v>
      </c>
      <c r="R388" s="7"/>
      <c r="S388" s="7"/>
      <c r="T388" s="7"/>
      <c r="U388" s="7"/>
      <c r="V388" s="7">
        <f t="shared" si="12"/>
        <v>88</v>
      </c>
      <c r="W388" s="7">
        <f t="shared" si="13"/>
        <v>152</v>
      </c>
    </row>
    <row r="389" spans="1:23" ht="18.75" x14ac:dyDescent="0.3">
      <c r="A389" s="4">
        <v>388</v>
      </c>
      <c r="B389" s="7" t="s">
        <v>759</v>
      </c>
      <c r="C389" s="9" t="s">
        <v>760</v>
      </c>
      <c r="D389" s="8">
        <v>120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>
        <v>32</v>
      </c>
      <c r="Q389" s="7">
        <v>20</v>
      </c>
      <c r="R389" s="7"/>
      <c r="S389" s="7"/>
      <c r="T389" s="7"/>
      <c r="U389" s="7"/>
      <c r="V389" s="7">
        <f t="shared" si="12"/>
        <v>52</v>
      </c>
      <c r="W389" s="7">
        <f t="shared" si="13"/>
        <v>68</v>
      </c>
    </row>
    <row r="390" spans="1:23" ht="18.75" x14ac:dyDescent="0.3">
      <c r="A390" s="4">
        <v>389</v>
      </c>
      <c r="B390" s="7" t="s">
        <v>761</v>
      </c>
      <c r="C390" s="9" t="s">
        <v>762</v>
      </c>
      <c r="D390" s="8">
        <v>120</v>
      </c>
      <c r="E390" s="7"/>
      <c r="F390" s="7"/>
      <c r="G390" s="7"/>
      <c r="H390" s="7">
        <v>32</v>
      </c>
      <c r="I390" s="7"/>
      <c r="J390" s="7"/>
      <c r="K390" s="7"/>
      <c r="L390" s="7"/>
      <c r="M390" s="7"/>
      <c r="N390" s="7"/>
      <c r="O390" s="7"/>
      <c r="P390" s="7">
        <v>6</v>
      </c>
      <c r="Q390" s="7">
        <v>20</v>
      </c>
      <c r="R390" s="7"/>
      <c r="S390" s="7"/>
      <c r="T390" s="7"/>
      <c r="U390" s="7">
        <v>6</v>
      </c>
      <c r="V390" s="7">
        <f t="shared" si="12"/>
        <v>64</v>
      </c>
      <c r="W390" s="7">
        <f t="shared" si="13"/>
        <v>56</v>
      </c>
    </row>
    <row r="391" spans="1:23" ht="18.75" x14ac:dyDescent="0.3">
      <c r="A391" s="4">
        <v>390</v>
      </c>
      <c r="B391" s="16" t="s">
        <v>763</v>
      </c>
      <c r="C391" s="9" t="s">
        <v>764</v>
      </c>
      <c r="D391" s="8">
        <v>60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>
        <v>20</v>
      </c>
      <c r="Q391" s="7"/>
      <c r="R391" s="7"/>
      <c r="S391" s="7"/>
      <c r="T391" s="7"/>
      <c r="U391" s="7"/>
      <c r="V391" s="7">
        <f t="shared" si="12"/>
        <v>20</v>
      </c>
      <c r="W391" s="7">
        <f t="shared" si="13"/>
        <v>40</v>
      </c>
    </row>
    <row r="392" spans="1:23" ht="18.75" x14ac:dyDescent="0.3">
      <c r="A392" s="4">
        <v>391</v>
      </c>
      <c r="B392" s="16" t="s">
        <v>765</v>
      </c>
      <c r="C392" s="9" t="s">
        <v>766</v>
      </c>
      <c r="D392" s="8">
        <v>60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>
        <v>38</v>
      </c>
      <c r="Q392" s="7">
        <v>20</v>
      </c>
      <c r="R392" s="7"/>
      <c r="S392" s="7"/>
      <c r="T392" s="7"/>
      <c r="U392" s="7"/>
      <c r="V392" s="7">
        <f t="shared" si="12"/>
        <v>58</v>
      </c>
      <c r="W392" s="7">
        <f t="shared" si="13"/>
        <v>2</v>
      </c>
    </row>
    <row r="393" spans="1:23" ht="18.75" x14ac:dyDescent="0.3">
      <c r="A393" s="4">
        <v>392</v>
      </c>
      <c r="B393" s="16" t="s">
        <v>767</v>
      </c>
      <c r="C393" s="9" t="s">
        <v>768</v>
      </c>
      <c r="D393" s="8">
        <v>6</v>
      </c>
      <c r="E393" s="7"/>
      <c r="F393" s="7"/>
      <c r="G393" s="7"/>
      <c r="H393" s="7">
        <v>3</v>
      </c>
      <c r="I393" s="7"/>
      <c r="J393" s="7"/>
      <c r="K393" s="7"/>
      <c r="L393" s="7"/>
      <c r="M393" s="7"/>
      <c r="N393" s="7"/>
      <c r="O393" s="7"/>
      <c r="P393" s="7">
        <v>6</v>
      </c>
      <c r="Q393" s="7"/>
      <c r="R393" s="7"/>
      <c r="S393" s="7"/>
      <c r="T393" s="7"/>
      <c r="U393" s="7"/>
      <c r="V393" s="7">
        <f t="shared" si="12"/>
        <v>9</v>
      </c>
      <c r="W393" s="7">
        <f t="shared" si="13"/>
        <v>-3</v>
      </c>
    </row>
    <row r="394" spans="1:23" ht="18.75" x14ac:dyDescent="0.3">
      <c r="A394" s="4">
        <v>393</v>
      </c>
      <c r="B394" s="16" t="s">
        <v>769</v>
      </c>
      <c r="C394" s="9" t="s">
        <v>770</v>
      </c>
      <c r="D394" s="8">
        <v>18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>
        <v>3</v>
      </c>
      <c r="Q394" s="7">
        <v>3</v>
      </c>
      <c r="R394" s="7"/>
      <c r="S394" s="7"/>
      <c r="T394" s="7"/>
      <c r="U394" s="7"/>
      <c r="V394" s="7">
        <f t="shared" si="12"/>
        <v>6</v>
      </c>
      <c r="W394" s="7">
        <f t="shared" si="13"/>
        <v>12</v>
      </c>
    </row>
    <row r="395" spans="1:23" ht="18.75" x14ac:dyDescent="0.3">
      <c r="A395" s="4">
        <v>394</v>
      </c>
      <c r="B395" s="16" t="s">
        <v>771</v>
      </c>
      <c r="C395" s="9" t="s">
        <v>772</v>
      </c>
      <c r="D395" s="8">
        <v>240</v>
      </c>
      <c r="E395" s="7"/>
      <c r="F395" s="7"/>
      <c r="G395" s="7"/>
      <c r="H395" s="7"/>
      <c r="I395" s="7"/>
      <c r="J395" s="7"/>
      <c r="K395" s="7">
        <v>20</v>
      </c>
      <c r="L395" s="7"/>
      <c r="M395" s="7"/>
      <c r="N395" s="7"/>
      <c r="O395" s="7"/>
      <c r="P395" s="7">
        <v>2</v>
      </c>
      <c r="Q395" s="7">
        <v>20</v>
      </c>
      <c r="R395" s="7"/>
      <c r="S395" s="7"/>
      <c r="T395" s="7"/>
      <c r="U395" s="7">
        <v>2</v>
      </c>
      <c r="V395" s="7">
        <f t="shared" si="12"/>
        <v>44</v>
      </c>
      <c r="W395" s="7">
        <f t="shared" si="13"/>
        <v>196</v>
      </c>
    </row>
    <row r="396" spans="1:23" ht="18.75" x14ac:dyDescent="0.3">
      <c r="A396" s="4">
        <v>395</v>
      </c>
      <c r="B396" s="16" t="s">
        <v>773</v>
      </c>
      <c r="C396" s="9" t="s">
        <v>774</v>
      </c>
      <c r="D396" s="8">
        <v>60</v>
      </c>
      <c r="E396" s="7"/>
      <c r="F396" s="7"/>
      <c r="G396" s="7"/>
      <c r="H396" s="7">
        <v>6</v>
      </c>
      <c r="I396" s="7"/>
      <c r="J396" s="7"/>
      <c r="K396" s="7"/>
      <c r="L396" s="7"/>
      <c r="M396" s="7"/>
      <c r="N396" s="7"/>
      <c r="O396" s="7"/>
      <c r="P396" s="7">
        <v>8</v>
      </c>
      <c r="Q396" s="7">
        <v>20</v>
      </c>
      <c r="R396" s="7"/>
      <c r="S396" s="7"/>
      <c r="T396" s="7"/>
      <c r="U396" s="7"/>
      <c r="V396" s="7">
        <f t="shared" si="12"/>
        <v>34</v>
      </c>
      <c r="W396" s="7">
        <f t="shared" si="13"/>
        <v>26</v>
      </c>
    </row>
    <row r="397" spans="1:23" ht="18.75" x14ac:dyDescent="0.3">
      <c r="A397" s="4">
        <v>396</v>
      </c>
      <c r="B397" s="16" t="s">
        <v>775</v>
      </c>
      <c r="C397" s="9" t="s">
        <v>776</v>
      </c>
      <c r="D397" s="8">
        <v>60</v>
      </c>
      <c r="E397" s="7"/>
      <c r="F397" s="7"/>
      <c r="G397" s="7"/>
      <c r="H397" s="7">
        <v>3</v>
      </c>
      <c r="I397" s="7"/>
      <c r="J397" s="7"/>
      <c r="K397" s="7"/>
      <c r="L397" s="7"/>
      <c r="M397" s="7"/>
      <c r="N397" s="7"/>
      <c r="O397" s="7"/>
      <c r="P397" s="7">
        <v>4</v>
      </c>
      <c r="Q397" s="7">
        <v>10</v>
      </c>
      <c r="R397" s="7"/>
      <c r="S397" s="7"/>
      <c r="T397" s="7"/>
      <c r="U397" s="7"/>
      <c r="V397" s="7">
        <f t="shared" si="12"/>
        <v>17</v>
      </c>
      <c r="W397" s="7">
        <f t="shared" si="13"/>
        <v>43</v>
      </c>
    </row>
    <row r="398" spans="1:23" ht="18.75" x14ac:dyDescent="0.3">
      <c r="A398" s="4">
        <v>397</v>
      </c>
      <c r="B398" s="16" t="s">
        <v>777</v>
      </c>
      <c r="C398" s="9" t="s">
        <v>778</v>
      </c>
      <c r="D398" s="8">
        <v>20</v>
      </c>
      <c r="E398" s="7"/>
      <c r="F398" s="7"/>
      <c r="G398" s="7"/>
      <c r="H398" s="7">
        <v>3</v>
      </c>
      <c r="I398" s="7"/>
      <c r="J398" s="7"/>
      <c r="K398" s="7"/>
      <c r="L398" s="7"/>
      <c r="M398" s="7"/>
      <c r="N398" s="7"/>
      <c r="O398" s="7"/>
      <c r="P398" s="7">
        <v>4</v>
      </c>
      <c r="Q398" s="7">
        <v>10</v>
      </c>
      <c r="R398" s="7"/>
      <c r="S398" s="7"/>
      <c r="T398" s="7"/>
      <c r="U398" s="7"/>
      <c r="V398" s="7">
        <f t="shared" si="12"/>
        <v>17</v>
      </c>
      <c r="W398" s="7">
        <f t="shared" si="13"/>
        <v>3</v>
      </c>
    </row>
    <row r="399" spans="1:23" ht="18.75" x14ac:dyDescent="0.3">
      <c r="A399" s="4">
        <v>398</v>
      </c>
      <c r="B399" s="16" t="s">
        <v>779</v>
      </c>
      <c r="C399" s="9" t="s">
        <v>780</v>
      </c>
      <c r="D399" s="8">
        <v>20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>
        <v>10</v>
      </c>
      <c r="R399" s="7"/>
      <c r="S399" s="7"/>
      <c r="T399" s="7"/>
      <c r="U399" s="7"/>
      <c r="V399" s="7">
        <f t="shared" si="12"/>
        <v>10</v>
      </c>
      <c r="W399" s="7">
        <f t="shared" si="13"/>
        <v>10</v>
      </c>
    </row>
    <row r="400" spans="1:23" ht="18.75" x14ac:dyDescent="0.3">
      <c r="A400" s="4">
        <v>399</v>
      </c>
      <c r="B400" s="16" t="s">
        <v>781</v>
      </c>
      <c r="C400" s="9" t="s">
        <v>782</v>
      </c>
      <c r="D400" s="8">
        <v>20</v>
      </c>
      <c r="E400" s="7"/>
      <c r="F400" s="7"/>
      <c r="G400" s="7"/>
      <c r="H400" s="7">
        <v>14</v>
      </c>
      <c r="I400" s="7"/>
      <c r="J400" s="7"/>
      <c r="K400" s="7"/>
      <c r="L400" s="7"/>
      <c r="M400" s="7"/>
      <c r="N400" s="7"/>
      <c r="O400" s="7"/>
      <c r="P400" s="7"/>
      <c r="Q400" s="7">
        <v>6</v>
      </c>
      <c r="R400" s="7"/>
      <c r="S400" s="7"/>
      <c r="T400" s="7"/>
      <c r="U400" s="7"/>
      <c r="V400" s="7">
        <f t="shared" si="12"/>
        <v>20</v>
      </c>
      <c r="W400" s="7">
        <f t="shared" si="13"/>
        <v>0</v>
      </c>
    </row>
    <row r="401" spans="1:23" ht="18.75" x14ac:dyDescent="0.3">
      <c r="A401" s="4">
        <v>400</v>
      </c>
      <c r="B401" s="16" t="s">
        <v>783</v>
      </c>
      <c r="C401" s="9" t="s">
        <v>784</v>
      </c>
      <c r="D401" s="8">
        <v>20</v>
      </c>
      <c r="E401" s="7"/>
      <c r="F401" s="7"/>
      <c r="G401" s="7"/>
      <c r="H401" s="7">
        <v>14</v>
      </c>
      <c r="I401" s="7"/>
      <c r="J401" s="7"/>
      <c r="K401" s="7"/>
      <c r="L401" s="7"/>
      <c r="M401" s="7"/>
      <c r="N401" s="7"/>
      <c r="O401" s="7"/>
      <c r="P401" s="7"/>
      <c r="Q401" s="7">
        <v>6</v>
      </c>
      <c r="R401" s="7"/>
      <c r="S401" s="7"/>
      <c r="T401" s="7"/>
      <c r="U401" s="7"/>
      <c r="V401" s="7">
        <f t="shared" si="12"/>
        <v>20</v>
      </c>
      <c r="W401" s="7">
        <f t="shared" si="13"/>
        <v>0</v>
      </c>
    </row>
    <row r="402" spans="1:23" ht="18.75" x14ac:dyDescent="0.3">
      <c r="A402" s="4">
        <v>401</v>
      </c>
      <c r="B402" s="7" t="s">
        <v>785</v>
      </c>
      <c r="C402" s="9" t="s">
        <v>786</v>
      </c>
      <c r="D402" s="8">
        <v>30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>
        <f t="shared" si="12"/>
        <v>0</v>
      </c>
      <c r="W402" s="7">
        <f t="shared" si="13"/>
        <v>30</v>
      </c>
    </row>
    <row r="403" spans="1:23" ht="18.75" x14ac:dyDescent="0.3">
      <c r="A403" s="4">
        <v>402</v>
      </c>
      <c r="B403" s="7" t="s">
        <v>787</v>
      </c>
      <c r="C403" s="9" t="s">
        <v>788</v>
      </c>
      <c r="D403" s="8">
        <v>6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>
        <f t="shared" si="12"/>
        <v>0</v>
      </c>
      <c r="W403" s="7">
        <f t="shared" si="13"/>
        <v>6</v>
      </c>
    </row>
    <row r="404" spans="1:23" ht="18.75" x14ac:dyDescent="0.3">
      <c r="A404" s="4">
        <v>403</v>
      </c>
      <c r="B404" s="7" t="s">
        <v>789</v>
      </c>
      <c r="C404" s="9" t="s">
        <v>790</v>
      </c>
      <c r="D404" s="8">
        <v>20</v>
      </c>
      <c r="E404" s="7"/>
      <c r="F404" s="7"/>
      <c r="G404" s="7"/>
      <c r="H404" s="7"/>
      <c r="I404" s="7"/>
      <c r="J404" s="7"/>
      <c r="K404" s="7">
        <v>15</v>
      </c>
      <c r="L404" s="7"/>
      <c r="M404" s="7"/>
      <c r="N404" s="7"/>
      <c r="O404" s="7"/>
      <c r="P404" s="7">
        <v>4</v>
      </c>
      <c r="Q404" s="7"/>
      <c r="R404" s="7"/>
      <c r="S404" s="7"/>
      <c r="T404" s="7"/>
      <c r="U404" s="7"/>
      <c r="V404" s="7">
        <f t="shared" si="12"/>
        <v>19</v>
      </c>
      <c r="W404" s="7">
        <f t="shared" si="13"/>
        <v>1</v>
      </c>
    </row>
    <row r="405" spans="1:23" ht="18.75" x14ac:dyDescent="0.3">
      <c r="A405" s="4">
        <v>404</v>
      </c>
      <c r="B405" s="7" t="s">
        <v>791</v>
      </c>
      <c r="C405" s="9" t="s">
        <v>792</v>
      </c>
      <c r="D405" s="8">
        <v>20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>
        <v>16</v>
      </c>
      <c r="Q405" s="7"/>
      <c r="R405" s="7"/>
      <c r="S405" s="7"/>
      <c r="T405" s="7"/>
      <c r="U405" s="7"/>
      <c r="V405" s="7">
        <f t="shared" si="12"/>
        <v>16</v>
      </c>
      <c r="W405" s="7">
        <f t="shared" si="13"/>
        <v>4</v>
      </c>
    </row>
    <row r="406" spans="1:23" ht="18.75" x14ac:dyDescent="0.3">
      <c r="A406" s="4">
        <v>405</v>
      </c>
      <c r="B406" s="7" t="s">
        <v>793</v>
      </c>
      <c r="C406" s="9" t="s">
        <v>794</v>
      </c>
      <c r="D406" s="8">
        <v>28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>
        <v>14</v>
      </c>
      <c r="R406" s="7"/>
      <c r="S406" s="7"/>
      <c r="T406" s="7"/>
      <c r="U406" s="7"/>
      <c r="V406" s="7">
        <f t="shared" si="12"/>
        <v>14</v>
      </c>
      <c r="W406" s="7">
        <f t="shared" si="13"/>
        <v>14</v>
      </c>
    </row>
    <row r="407" spans="1:23" ht="18.75" x14ac:dyDescent="0.3">
      <c r="A407" s="4">
        <v>406</v>
      </c>
      <c r="B407" s="7" t="s">
        <v>795</v>
      </c>
      <c r="C407" s="9" t="s">
        <v>796</v>
      </c>
      <c r="D407" s="8">
        <v>28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>
        <v>28</v>
      </c>
      <c r="R407" s="7"/>
      <c r="S407" s="7"/>
      <c r="T407" s="7"/>
      <c r="U407" s="7"/>
      <c r="V407" s="7">
        <f t="shared" si="12"/>
        <v>28</v>
      </c>
      <c r="W407" s="7">
        <f t="shared" si="13"/>
        <v>0</v>
      </c>
    </row>
    <row r="408" spans="1:23" ht="18.75" x14ac:dyDescent="0.3">
      <c r="A408" s="4">
        <v>407</v>
      </c>
      <c r="B408" s="7" t="s">
        <v>709</v>
      </c>
      <c r="C408" s="9" t="s">
        <v>797</v>
      </c>
      <c r="D408" s="8">
        <v>1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>
        <f t="shared" si="12"/>
        <v>0</v>
      </c>
      <c r="W408" s="7">
        <f t="shared" si="13"/>
        <v>1</v>
      </c>
    </row>
    <row r="409" spans="1:23" ht="18.75" x14ac:dyDescent="0.3">
      <c r="A409" s="4">
        <v>408</v>
      </c>
      <c r="B409" s="7" t="s">
        <v>752</v>
      </c>
      <c r="C409" s="9" t="s">
        <v>798</v>
      </c>
      <c r="D409" s="8">
        <v>30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>
        <v>15</v>
      </c>
      <c r="R409" s="7"/>
      <c r="S409" s="7"/>
      <c r="T409" s="7"/>
      <c r="U409" s="7"/>
      <c r="V409" s="7">
        <f t="shared" si="12"/>
        <v>15</v>
      </c>
      <c r="W409" s="7">
        <f t="shared" si="13"/>
        <v>15</v>
      </c>
    </row>
    <row r="410" spans="1:23" ht="18.75" x14ac:dyDescent="0.3">
      <c r="A410" s="4">
        <v>409</v>
      </c>
      <c r="B410" s="7" t="s">
        <v>753</v>
      </c>
      <c r="C410" s="9" t="s">
        <v>799</v>
      </c>
      <c r="D410" s="8">
        <v>1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>
        <f t="shared" si="12"/>
        <v>0</v>
      </c>
      <c r="W410" s="7">
        <f t="shared" si="13"/>
        <v>1</v>
      </c>
    </row>
    <row r="411" spans="1:23" ht="18.75" x14ac:dyDescent="0.3">
      <c r="A411" s="4">
        <v>410</v>
      </c>
      <c r="B411" s="7" t="s">
        <v>800</v>
      </c>
      <c r="C411" s="9" t="s">
        <v>801</v>
      </c>
      <c r="D411" s="8">
        <v>24</v>
      </c>
      <c r="E411" s="7"/>
      <c r="F411" s="7"/>
      <c r="G411" s="7"/>
      <c r="H411" s="7"/>
      <c r="I411" s="7"/>
      <c r="J411" s="7"/>
      <c r="K411" s="7">
        <v>13</v>
      </c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>
        <f t="shared" si="12"/>
        <v>13</v>
      </c>
      <c r="W411" s="7">
        <f t="shared" si="13"/>
        <v>11</v>
      </c>
    </row>
    <row r="412" spans="1:23" ht="18.75" x14ac:dyDescent="0.3">
      <c r="A412" s="4">
        <v>411</v>
      </c>
      <c r="B412" s="7" t="s">
        <v>699</v>
      </c>
      <c r="C412" s="9" t="s">
        <v>802</v>
      </c>
      <c r="D412" s="8">
        <v>52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>
        <f t="shared" si="12"/>
        <v>0</v>
      </c>
      <c r="W412" s="7">
        <f t="shared" si="13"/>
        <v>52</v>
      </c>
    </row>
    <row r="413" spans="1:23" ht="18.75" x14ac:dyDescent="0.3">
      <c r="A413" s="4">
        <v>412</v>
      </c>
      <c r="B413" s="7" t="s">
        <v>803</v>
      </c>
      <c r="C413" s="9" t="s">
        <v>804</v>
      </c>
      <c r="D413" s="8">
        <v>20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>
        <f t="shared" si="12"/>
        <v>0</v>
      </c>
      <c r="W413" s="7">
        <f t="shared" si="13"/>
        <v>20</v>
      </c>
    </row>
    <row r="414" spans="1:23" ht="18.75" x14ac:dyDescent="0.3">
      <c r="A414" s="4">
        <v>413</v>
      </c>
      <c r="B414" s="7" t="s">
        <v>805</v>
      </c>
      <c r="C414" s="9" t="s">
        <v>806</v>
      </c>
      <c r="D414" s="8">
        <v>20</v>
      </c>
      <c r="E414" s="7"/>
      <c r="F414" s="7"/>
      <c r="G414" s="7"/>
      <c r="H414" s="7"/>
      <c r="I414" s="7"/>
      <c r="J414" s="7"/>
      <c r="K414" s="7">
        <v>10</v>
      </c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>
        <f t="shared" si="12"/>
        <v>10</v>
      </c>
      <c r="W414" s="7">
        <f t="shared" si="13"/>
        <v>10</v>
      </c>
    </row>
    <row r="415" spans="1:23" ht="18.75" x14ac:dyDescent="0.3">
      <c r="A415" s="4">
        <v>414</v>
      </c>
      <c r="B415" s="7" t="s">
        <v>812</v>
      </c>
      <c r="C415" s="9" t="s">
        <v>813</v>
      </c>
      <c r="D415" s="7">
        <v>12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>
        <v>1</v>
      </c>
      <c r="Q415" s="7">
        <v>2</v>
      </c>
      <c r="R415" s="7"/>
      <c r="S415" s="7"/>
      <c r="T415" s="7"/>
      <c r="U415" s="7"/>
      <c r="V415" s="7">
        <f t="shared" si="12"/>
        <v>3</v>
      </c>
      <c r="W415" s="7">
        <f t="shared" si="13"/>
        <v>9</v>
      </c>
    </row>
    <row r="416" spans="1:23" ht="18.75" x14ac:dyDescent="0.3">
      <c r="A416" s="4">
        <v>415</v>
      </c>
      <c r="B416" s="7" t="s">
        <v>814</v>
      </c>
      <c r="C416" s="9" t="s">
        <v>815</v>
      </c>
      <c r="D416" s="7">
        <v>10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>
        <f t="shared" si="12"/>
        <v>0</v>
      </c>
      <c r="W416" s="7">
        <f t="shared" si="13"/>
        <v>10</v>
      </c>
    </row>
    <row r="417" spans="1:23" ht="18.75" x14ac:dyDescent="0.3">
      <c r="A417" s="4">
        <v>416</v>
      </c>
      <c r="B417" s="7" t="s">
        <v>816</v>
      </c>
      <c r="C417" s="9" t="s">
        <v>817</v>
      </c>
      <c r="D417" s="7">
        <v>5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>
        <f t="shared" si="12"/>
        <v>0</v>
      </c>
      <c r="W417" s="7">
        <f t="shared" si="13"/>
        <v>5</v>
      </c>
    </row>
    <row r="418" spans="1:23" ht="18.75" x14ac:dyDescent="0.3">
      <c r="A418" s="4">
        <v>417</v>
      </c>
      <c r="B418" s="7" t="s">
        <v>818</v>
      </c>
      <c r="C418" s="9" t="s">
        <v>819</v>
      </c>
      <c r="D418" s="7">
        <v>10</v>
      </c>
      <c r="E418" s="7"/>
      <c r="F418" s="7"/>
      <c r="G418" s="7"/>
      <c r="H418" s="7">
        <v>1</v>
      </c>
      <c r="I418" s="7"/>
      <c r="J418" s="7"/>
      <c r="K418" s="7"/>
      <c r="L418" s="7"/>
      <c r="M418" s="7"/>
      <c r="N418" s="7"/>
      <c r="O418" s="7"/>
      <c r="P418" s="7">
        <v>1</v>
      </c>
      <c r="Q418" s="7">
        <v>1</v>
      </c>
      <c r="R418" s="7"/>
      <c r="S418" s="7"/>
      <c r="T418" s="7"/>
      <c r="U418" s="7"/>
      <c r="V418" s="7">
        <f t="shared" si="12"/>
        <v>3</v>
      </c>
      <c r="W418" s="7">
        <f t="shared" si="13"/>
        <v>7</v>
      </c>
    </row>
    <row r="419" spans="1:23" ht="18.75" x14ac:dyDescent="0.3">
      <c r="A419" s="4">
        <v>418</v>
      </c>
      <c r="B419" s="7" t="s">
        <v>130</v>
      </c>
      <c r="C419" s="9" t="s">
        <v>820</v>
      </c>
      <c r="D419" s="7">
        <v>25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>
        <f t="shared" si="12"/>
        <v>0</v>
      </c>
      <c r="W419" s="7">
        <f t="shared" si="13"/>
        <v>25</v>
      </c>
    </row>
    <row r="420" spans="1:23" ht="18.75" x14ac:dyDescent="0.3">
      <c r="A420" s="4">
        <v>419</v>
      </c>
      <c r="B420" s="7" t="s">
        <v>821</v>
      </c>
      <c r="C420" s="9" t="s">
        <v>822</v>
      </c>
      <c r="D420" s="7">
        <v>3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>
        <f t="shared" si="12"/>
        <v>0</v>
      </c>
      <c r="W420" s="7">
        <f t="shared" si="13"/>
        <v>3</v>
      </c>
    </row>
    <row r="421" spans="1:23" ht="18.75" x14ac:dyDescent="0.3">
      <c r="A421" s="4">
        <v>420</v>
      </c>
      <c r="B421" s="7" t="s">
        <v>823</v>
      </c>
      <c r="C421" s="9" t="s">
        <v>824</v>
      </c>
      <c r="D421" s="7">
        <v>3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>
        <v>1</v>
      </c>
      <c r="R421" s="7"/>
      <c r="S421" s="7"/>
      <c r="T421" s="7"/>
      <c r="U421" s="7"/>
      <c r="V421" s="7">
        <f t="shared" si="12"/>
        <v>1</v>
      </c>
      <c r="W421" s="7">
        <f t="shared" si="13"/>
        <v>2</v>
      </c>
    </row>
    <row r="422" spans="1:23" ht="18.75" x14ac:dyDescent="0.3">
      <c r="A422" s="4">
        <v>421</v>
      </c>
      <c r="B422" s="7" t="s">
        <v>825</v>
      </c>
      <c r="C422" s="9" t="s">
        <v>826</v>
      </c>
      <c r="D422" s="7">
        <v>6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>
        <v>1</v>
      </c>
      <c r="R422" s="7"/>
      <c r="S422" s="7"/>
      <c r="T422" s="7"/>
      <c r="U422" s="7"/>
      <c r="V422" s="7">
        <f t="shared" si="12"/>
        <v>1</v>
      </c>
      <c r="W422" s="7">
        <f>D422-V422</f>
        <v>5</v>
      </c>
    </row>
    <row r="423" spans="1:23" ht="18.75" x14ac:dyDescent="0.3">
      <c r="A423" s="4">
        <v>422</v>
      </c>
      <c r="B423" s="7" t="s">
        <v>952</v>
      </c>
      <c r="C423" s="9" t="s">
        <v>953</v>
      </c>
      <c r="D423" s="8">
        <v>2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>
        <v>1</v>
      </c>
      <c r="R423" s="7"/>
      <c r="S423" s="7"/>
      <c r="T423" s="7"/>
      <c r="U423" s="7"/>
      <c r="V423" s="7">
        <f t="shared" si="12"/>
        <v>1</v>
      </c>
      <c r="W423" s="7">
        <f t="shared" si="13"/>
        <v>1</v>
      </c>
    </row>
    <row r="424" spans="1:23" ht="18.75" x14ac:dyDescent="0.3">
      <c r="A424" s="4">
        <v>423</v>
      </c>
      <c r="B424" s="7" t="s">
        <v>827</v>
      </c>
      <c r="C424" s="9" t="s">
        <v>828</v>
      </c>
      <c r="D424" s="7">
        <v>14</v>
      </c>
      <c r="E424" s="7"/>
      <c r="F424" s="7"/>
      <c r="G424" s="7"/>
      <c r="H424" s="7">
        <v>2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>
        <f t="shared" si="12"/>
        <v>2</v>
      </c>
      <c r="W424" s="7">
        <f t="shared" si="13"/>
        <v>12</v>
      </c>
    </row>
    <row r="425" spans="1:23" ht="18.75" x14ac:dyDescent="0.3">
      <c r="A425" s="4">
        <v>424</v>
      </c>
      <c r="B425" s="7" t="s">
        <v>829</v>
      </c>
      <c r="C425" s="9" t="s">
        <v>830</v>
      </c>
      <c r="D425" s="7">
        <v>20</v>
      </c>
      <c r="E425" s="7"/>
      <c r="F425" s="7"/>
      <c r="G425" s="7"/>
      <c r="H425" s="7">
        <v>4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>
        <f t="shared" si="12"/>
        <v>4</v>
      </c>
      <c r="W425" s="7">
        <f t="shared" si="13"/>
        <v>16</v>
      </c>
    </row>
    <row r="426" spans="1:23" ht="18.75" x14ac:dyDescent="0.3">
      <c r="A426" s="4">
        <v>425</v>
      </c>
      <c r="B426" s="17" t="s">
        <v>831</v>
      </c>
      <c r="C426" s="18" t="s">
        <v>832</v>
      </c>
      <c r="D426" s="17">
        <v>15</v>
      </c>
      <c r="E426" s="7"/>
      <c r="F426" s="7"/>
      <c r="G426" s="7"/>
      <c r="H426" s="7">
        <v>3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>
        <f t="shared" si="12"/>
        <v>3</v>
      </c>
      <c r="W426" s="7">
        <f t="shared" si="13"/>
        <v>12</v>
      </c>
    </row>
    <row r="427" spans="1:23" ht="18.75" x14ac:dyDescent="0.3">
      <c r="A427" s="4">
        <v>426</v>
      </c>
      <c r="B427" s="17" t="s">
        <v>833</v>
      </c>
      <c r="C427" s="18" t="s">
        <v>834</v>
      </c>
      <c r="D427" s="17">
        <v>10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>
        <f t="shared" si="12"/>
        <v>0</v>
      </c>
      <c r="W427" s="7">
        <f t="shared" si="13"/>
        <v>10</v>
      </c>
    </row>
    <row r="428" spans="1:23" ht="18.75" x14ac:dyDescent="0.3">
      <c r="A428" s="4">
        <v>427</v>
      </c>
      <c r="B428" s="17" t="s">
        <v>835</v>
      </c>
      <c r="C428" s="18" t="s">
        <v>836</v>
      </c>
      <c r="D428" s="17">
        <v>3</v>
      </c>
      <c r="E428" s="7"/>
      <c r="F428" s="7"/>
      <c r="G428" s="7"/>
      <c r="H428" s="7">
        <v>1</v>
      </c>
      <c r="I428" s="7"/>
      <c r="J428" s="7"/>
      <c r="K428" s="7"/>
      <c r="L428" s="7"/>
      <c r="M428" s="7"/>
      <c r="N428" s="7"/>
      <c r="O428" s="7"/>
      <c r="P428" s="7"/>
      <c r="Q428" s="7">
        <v>1</v>
      </c>
      <c r="R428" s="7"/>
      <c r="S428" s="7"/>
      <c r="T428" s="7"/>
      <c r="U428" s="7"/>
      <c r="V428" s="7">
        <f t="shared" si="12"/>
        <v>2</v>
      </c>
      <c r="W428" s="7">
        <f t="shared" si="13"/>
        <v>1</v>
      </c>
    </row>
    <row r="429" spans="1:23" ht="18.75" x14ac:dyDescent="0.3">
      <c r="A429" s="4">
        <v>428</v>
      </c>
      <c r="B429" s="17" t="s">
        <v>837</v>
      </c>
      <c r="C429" s="18" t="s">
        <v>838</v>
      </c>
      <c r="D429" s="17">
        <v>10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>
        <f t="shared" si="12"/>
        <v>0</v>
      </c>
      <c r="W429" s="7">
        <f t="shared" si="13"/>
        <v>10</v>
      </c>
    </row>
    <row r="430" spans="1:23" ht="18.75" x14ac:dyDescent="0.3">
      <c r="A430" s="4">
        <v>429</v>
      </c>
      <c r="B430" s="17" t="s">
        <v>839</v>
      </c>
      <c r="C430" s="18" t="s">
        <v>840</v>
      </c>
      <c r="D430" s="17">
        <v>10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>
        <f t="shared" si="12"/>
        <v>0</v>
      </c>
      <c r="W430" s="7">
        <f t="shared" si="13"/>
        <v>10</v>
      </c>
    </row>
    <row r="431" spans="1:23" ht="18.75" x14ac:dyDescent="0.3">
      <c r="A431" s="4">
        <v>430</v>
      </c>
      <c r="B431" s="17" t="s">
        <v>841</v>
      </c>
      <c r="C431" s="18" t="s">
        <v>842</v>
      </c>
      <c r="D431" s="17">
        <v>24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>
        <f t="shared" si="12"/>
        <v>0</v>
      </c>
      <c r="W431" s="7">
        <f t="shared" si="13"/>
        <v>24</v>
      </c>
    </row>
    <row r="432" spans="1:23" ht="18.75" x14ac:dyDescent="0.3">
      <c r="A432" s="4">
        <v>431</v>
      </c>
      <c r="B432" s="17" t="s">
        <v>886</v>
      </c>
      <c r="C432" s="18" t="s">
        <v>887</v>
      </c>
      <c r="D432" s="17">
        <v>3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>
        <v>1</v>
      </c>
      <c r="R432" s="7"/>
      <c r="S432" s="7"/>
      <c r="T432" s="7">
        <v>1</v>
      </c>
      <c r="U432" s="7"/>
      <c r="V432" s="7">
        <f t="shared" si="12"/>
        <v>2</v>
      </c>
      <c r="W432" s="7">
        <f t="shared" si="13"/>
        <v>1</v>
      </c>
    </row>
    <row r="433" spans="1:23" ht="18.75" x14ac:dyDescent="0.3">
      <c r="A433" s="4">
        <v>432</v>
      </c>
      <c r="B433" s="17" t="s">
        <v>843</v>
      </c>
      <c r="C433" s="18" t="s">
        <v>844</v>
      </c>
      <c r="D433" s="17">
        <v>19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>
        <f t="shared" si="12"/>
        <v>0</v>
      </c>
      <c r="W433" s="7">
        <f t="shared" si="13"/>
        <v>19</v>
      </c>
    </row>
    <row r="434" spans="1:23" ht="18.75" x14ac:dyDescent="0.3">
      <c r="A434" s="4">
        <v>433</v>
      </c>
      <c r="B434" s="17" t="s">
        <v>888</v>
      </c>
      <c r="C434" s="18" t="s">
        <v>889</v>
      </c>
      <c r="D434" s="17">
        <v>3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>
        <f t="shared" si="12"/>
        <v>0</v>
      </c>
      <c r="W434" s="7">
        <f t="shared" si="13"/>
        <v>3</v>
      </c>
    </row>
    <row r="435" spans="1:23" ht="18.75" x14ac:dyDescent="0.3">
      <c r="A435" s="4">
        <v>434</v>
      </c>
      <c r="B435" s="17" t="s">
        <v>845</v>
      </c>
      <c r="C435" s="18" t="s">
        <v>846</v>
      </c>
      <c r="D435" s="17">
        <v>8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>
        <f t="shared" si="12"/>
        <v>0</v>
      </c>
      <c r="W435" s="7">
        <f t="shared" si="13"/>
        <v>8</v>
      </c>
    </row>
    <row r="436" spans="1:23" ht="18.75" x14ac:dyDescent="0.3">
      <c r="A436" s="4">
        <v>435</v>
      </c>
      <c r="B436" s="17" t="s">
        <v>847</v>
      </c>
      <c r="C436" s="18" t="s">
        <v>846</v>
      </c>
      <c r="D436" s="17">
        <v>20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>
        <f t="shared" si="12"/>
        <v>0</v>
      </c>
      <c r="W436" s="7">
        <f t="shared" si="13"/>
        <v>20</v>
      </c>
    </row>
    <row r="437" spans="1:23" ht="18.75" x14ac:dyDescent="0.3">
      <c r="A437" s="4">
        <v>436</v>
      </c>
      <c r="B437" s="7" t="s">
        <v>279</v>
      </c>
      <c r="C437" s="9" t="s">
        <v>848</v>
      </c>
      <c r="D437" s="7">
        <v>1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>
        <f t="shared" si="12"/>
        <v>0</v>
      </c>
      <c r="W437" s="7">
        <f t="shared" si="13"/>
        <v>1</v>
      </c>
    </row>
    <row r="438" spans="1:23" ht="18.75" x14ac:dyDescent="0.3">
      <c r="A438" s="4">
        <v>437</v>
      </c>
      <c r="B438" s="7" t="s">
        <v>849</v>
      </c>
      <c r="C438" s="9" t="s">
        <v>850</v>
      </c>
      <c r="D438" s="7">
        <v>1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>
        <f t="shared" si="12"/>
        <v>0</v>
      </c>
      <c r="W438" s="7">
        <f t="shared" si="13"/>
        <v>1</v>
      </c>
    </row>
    <row r="439" spans="1:23" ht="18.75" x14ac:dyDescent="0.3">
      <c r="A439" s="4">
        <v>438</v>
      </c>
      <c r="B439" s="7" t="s">
        <v>851</v>
      </c>
      <c r="C439" s="9" t="s">
        <v>852</v>
      </c>
      <c r="D439" s="7">
        <v>1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>
        <f t="shared" si="12"/>
        <v>0</v>
      </c>
      <c r="W439" s="7">
        <f t="shared" si="13"/>
        <v>1</v>
      </c>
    </row>
    <row r="440" spans="1:23" ht="18.75" x14ac:dyDescent="0.3">
      <c r="A440" s="4">
        <v>439</v>
      </c>
      <c r="B440" s="7" t="s">
        <v>853</v>
      </c>
      <c r="C440" s="9" t="s">
        <v>854</v>
      </c>
      <c r="D440" s="7">
        <v>11</v>
      </c>
      <c r="E440" s="7"/>
      <c r="F440" s="7"/>
      <c r="G440" s="7"/>
      <c r="H440" s="7">
        <v>1</v>
      </c>
      <c r="I440" s="7"/>
      <c r="J440" s="7"/>
      <c r="K440" s="7"/>
      <c r="L440" s="7"/>
      <c r="M440" s="7"/>
      <c r="N440" s="7"/>
      <c r="O440" s="7"/>
      <c r="P440" s="7"/>
      <c r="Q440" s="7">
        <v>1</v>
      </c>
      <c r="R440" s="7"/>
      <c r="S440" s="7"/>
      <c r="T440" s="7"/>
      <c r="U440" s="7"/>
      <c r="V440" s="7">
        <f t="shared" si="12"/>
        <v>2</v>
      </c>
      <c r="W440" s="7">
        <f t="shared" si="13"/>
        <v>9</v>
      </c>
    </row>
    <row r="441" spans="1:23" ht="18.75" x14ac:dyDescent="0.3">
      <c r="A441" s="4">
        <v>440</v>
      </c>
      <c r="B441" s="7" t="s">
        <v>855</v>
      </c>
      <c r="C441" s="9" t="s">
        <v>856</v>
      </c>
      <c r="D441" s="7">
        <v>17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>
        <v>1</v>
      </c>
      <c r="Q441" s="7">
        <v>1</v>
      </c>
      <c r="R441" s="7"/>
      <c r="S441" s="7"/>
      <c r="T441" s="7"/>
      <c r="U441" s="7"/>
      <c r="V441" s="7">
        <f t="shared" si="12"/>
        <v>2</v>
      </c>
      <c r="W441" s="7">
        <f t="shared" si="13"/>
        <v>15</v>
      </c>
    </row>
    <row r="442" spans="1:23" ht="18.75" x14ac:dyDescent="0.3">
      <c r="A442" s="4">
        <v>441</v>
      </c>
      <c r="B442" s="7" t="s">
        <v>857</v>
      </c>
      <c r="C442" s="9" t="s">
        <v>858</v>
      </c>
      <c r="D442" s="7">
        <v>22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>
        <v>1</v>
      </c>
      <c r="Q442" s="7"/>
      <c r="R442" s="7"/>
      <c r="S442" s="7"/>
      <c r="T442" s="7"/>
      <c r="U442" s="7"/>
      <c r="V442" s="7">
        <f t="shared" si="12"/>
        <v>1</v>
      </c>
      <c r="W442" s="7">
        <f t="shared" si="13"/>
        <v>21</v>
      </c>
    </row>
    <row r="443" spans="1:23" ht="18.75" x14ac:dyDescent="0.3">
      <c r="A443" s="4">
        <v>442</v>
      </c>
      <c r="B443" s="19" t="s">
        <v>859</v>
      </c>
      <c r="C443" s="20" t="s">
        <v>860</v>
      </c>
      <c r="D443" s="19">
        <v>5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>
        <f t="shared" si="12"/>
        <v>0</v>
      </c>
      <c r="W443" s="7">
        <f t="shared" si="13"/>
        <v>5</v>
      </c>
    </row>
    <row r="444" spans="1:23" ht="18.75" x14ac:dyDescent="0.3">
      <c r="A444" s="4">
        <v>443</v>
      </c>
      <c r="B444" s="19" t="s">
        <v>861</v>
      </c>
      <c r="C444" s="20" t="s">
        <v>862</v>
      </c>
      <c r="D444" s="19">
        <v>1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>
        <v>1</v>
      </c>
      <c r="Q444" s="7"/>
      <c r="R444" s="7"/>
      <c r="S444" s="7"/>
      <c r="T444" s="7"/>
      <c r="U444" s="7"/>
      <c r="V444" s="7">
        <f t="shared" si="12"/>
        <v>1</v>
      </c>
      <c r="W444" s="7">
        <f t="shared" si="13"/>
        <v>0</v>
      </c>
    </row>
    <row r="445" spans="1:23" ht="18.75" x14ac:dyDescent="0.3">
      <c r="A445" s="4">
        <v>444</v>
      </c>
      <c r="B445" s="19" t="s">
        <v>863</v>
      </c>
      <c r="C445" s="20" t="s">
        <v>864</v>
      </c>
      <c r="D445" s="19">
        <v>5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>
        <f t="shared" si="12"/>
        <v>0</v>
      </c>
      <c r="W445" s="7">
        <f t="shared" si="13"/>
        <v>5</v>
      </c>
    </row>
    <row r="446" spans="1:23" ht="18.75" x14ac:dyDescent="0.3">
      <c r="A446" s="4">
        <v>445</v>
      </c>
      <c r="B446" s="19" t="s">
        <v>865</v>
      </c>
      <c r="C446" s="20" t="s">
        <v>866</v>
      </c>
      <c r="D446" s="19">
        <v>1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>
        <f t="shared" si="12"/>
        <v>0</v>
      </c>
      <c r="W446" s="7">
        <f t="shared" si="13"/>
        <v>1</v>
      </c>
    </row>
    <row r="447" spans="1:23" ht="18.75" x14ac:dyDescent="0.3">
      <c r="A447" s="4">
        <v>446</v>
      </c>
      <c r="B447" s="19" t="s">
        <v>867</v>
      </c>
      <c r="C447" s="20" t="s">
        <v>868</v>
      </c>
      <c r="D447" s="19">
        <v>1</v>
      </c>
      <c r="E447" s="7"/>
      <c r="F447" s="7"/>
      <c r="G447" s="7"/>
      <c r="H447" s="7">
        <v>1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>
        <f t="shared" si="12"/>
        <v>1</v>
      </c>
      <c r="W447" s="7">
        <f t="shared" si="13"/>
        <v>0</v>
      </c>
    </row>
    <row r="448" spans="1:23" ht="18.75" x14ac:dyDescent="0.3">
      <c r="A448" s="4">
        <v>447</v>
      </c>
      <c r="B448" s="19" t="s">
        <v>869</v>
      </c>
      <c r="C448" s="20" t="s">
        <v>870</v>
      </c>
      <c r="D448" s="19">
        <v>1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>
        <v>1</v>
      </c>
      <c r="R448" s="7"/>
      <c r="S448" s="7"/>
      <c r="T448" s="7"/>
      <c r="U448" s="7"/>
      <c r="V448" s="7">
        <f t="shared" si="12"/>
        <v>1</v>
      </c>
      <c r="W448" s="7">
        <f t="shared" si="13"/>
        <v>0</v>
      </c>
    </row>
    <row r="449" spans="1:23" ht="18.75" x14ac:dyDescent="0.3">
      <c r="A449" s="4">
        <v>448</v>
      </c>
      <c r="B449" s="19" t="s">
        <v>871</v>
      </c>
      <c r="C449" s="20" t="s">
        <v>872</v>
      </c>
      <c r="D449" s="19">
        <v>1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>
        <f t="shared" si="12"/>
        <v>0</v>
      </c>
      <c r="W449" s="7">
        <f t="shared" si="13"/>
        <v>1</v>
      </c>
    </row>
    <row r="450" spans="1:23" ht="18.75" x14ac:dyDescent="0.3">
      <c r="A450" s="4">
        <v>449</v>
      </c>
      <c r="B450" s="19" t="s">
        <v>873</v>
      </c>
      <c r="C450" s="20" t="s">
        <v>874</v>
      </c>
      <c r="D450" s="19">
        <v>5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>
        <v>1</v>
      </c>
      <c r="R450" s="7"/>
      <c r="S450" s="7"/>
      <c r="T450" s="7"/>
      <c r="U450" s="7"/>
      <c r="V450" s="7">
        <f t="shared" si="12"/>
        <v>1</v>
      </c>
      <c r="W450" s="7">
        <f t="shared" si="13"/>
        <v>4</v>
      </c>
    </row>
    <row r="451" spans="1:23" ht="18.75" x14ac:dyDescent="0.3">
      <c r="A451" s="4">
        <v>450</v>
      </c>
      <c r="B451" s="21" t="s">
        <v>875</v>
      </c>
      <c r="C451" s="18" t="s">
        <v>876</v>
      </c>
      <c r="D451" s="17">
        <v>2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>
        <f t="shared" ref="V451:V489" si="14">SUM(E451:U451)</f>
        <v>0</v>
      </c>
      <c r="W451" s="7">
        <f t="shared" ref="W451:W489" si="15">D451-V451</f>
        <v>2</v>
      </c>
    </row>
    <row r="452" spans="1:23" ht="18.75" x14ac:dyDescent="0.3">
      <c r="A452" s="4">
        <v>451</v>
      </c>
      <c r="B452" s="21" t="s">
        <v>877</v>
      </c>
      <c r="C452" s="18" t="s">
        <v>878</v>
      </c>
      <c r="D452" s="17">
        <v>3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>
        <f t="shared" si="14"/>
        <v>0</v>
      </c>
      <c r="W452" s="7">
        <f t="shared" si="15"/>
        <v>3</v>
      </c>
    </row>
    <row r="453" spans="1:23" ht="18.75" x14ac:dyDescent="0.3">
      <c r="A453" s="4">
        <v>452</v>
      </c>
      <c r="B453" s="21" t="s">
        <v>879</v>
      </c>
      <c r="C453" s="18" t="s">
        <v>880</v>
      </c>
      <c r="D453" s="17">
        <v>1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>
        <v>1</v>
      </c>
      <c r="R453" s="7"/>
      <c r="S453" s="7"/>
      <c r="T453" s="7"/>
      <c r="U453" s="7"/>
      <c r="V453" s="7">
        <f t="shared" si="14"/>
        <v>1</v>
      </c>
      <c r="W453" s="7">
        <f t="shared" si="15"/>
        <v>0</v>
      </c>
    </row>
    <row r="454" spans="1:23" ht="18.75" x14ac:dyDescent="0.3">
      <c r="A454" s="4">
        <v>453</v>
      </c>
      <c r="B454" s="21" t="s">
        <v>881</v>
      </c>
      <c r="C454" s="18" t="s">
        <v>882</v>
      </c>
      <c r="D454" s="17">
        <v>1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>
        <f t="shared" si="14"/>
        <v>0</v>
      </c>
      <c r="W454" s="7">
        <f t="shared" si="15"/>
        <v>1</v>
      </c>
    </row>
    <row r="455" spans="1:23" ht="18.75" x14ac:dyDescent="0.3">
      <c r="A455" s="4">
        <v>454</v>
      </c>
      <c r="B455" s="21" t="s">
        <v>883</v>
      </c>
      <c r="C455" s="18" t="s">
        <v>884</v>
      </c>
      <c r="D455" s="17">
        <v>1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>
        <f t="shared" si="14"/>
        <v>0</v>
      </c>
      <c r="W455" s="7">
        <f t="shared" si="15"/>
        <v>1</v>
      </c>
    </row>
    <row r="456" spans="1:23" ht="18.75" x14ac:dyDescent="0.3">
      <c r="A456" s="4">
        <v>455</v>
      </c>
      <c r="B456" s="22" t="s">
        <v>283</v>
      </c>
      <c r="C456" s="23" t="s">
        <v>885</v>
      </c>
      <c r="D456" s="17">
        <v>12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>
        <f t="shared" si="14"/>
        <v>0</v>
      </c>
      <c r="W456" s="7">
        <f t="shared" si="15"/>
        <v>12</v>
      </c>
    </row>
    <row r="457" spans="1:23" ht="18.75" x14ac:dyDescent="0.3">
      <c r="A457" s="4">
        <v>456</v>
      </c>
      <c r="B457" s="7" t="s">
        <v>890</v>
      </c>
      <c r="C457" s="9" t="s">
        <v>891</v>
      </c>
      <c r="D457" s="8">
        <v>72</v>
      </c>
      <c r="E457" s="7"/>
      <c r="F457" s="7"/>
      <c r="G457" s="7"/>
      <c r="H457" s="7"/>
      <c r="I457" s="7"/>
      <c r="J457" s="7"/>
      <c r="K457" s="7">
        <v>10</v>
      </c>
      <c r="L457" s="7"/>
      <c r="M457" s="7"/>
      <c r="N457" s="7"/>
      <c r="O457" s="7"/>
      <c r="P457" s="7">
        <v>10</v>
      </c>
      <c r="Q457" s="7"/>
      <c r="R457" s="7"/>
      <c r="S457" s="7"/>
      <c r="T457" s="7"/>
      <c r="U457" s="7"/>
      <c r="V457" s="7">
        <f t="shared" si="14"/>
        <v>20</v>
      </c>
      <c r="W457" s="7">
        <f t="shared" si="15"/>
        <v>52</v>
      </c>
    </row>
    <row r="458" spans="1:23" ht="18.75" x14ac:dyDescent="0.3">
      <c r="A458" s="4">
        <v>457</v>
      </c>
      <c r="B458" s="13" t="s">
        <v>896</v>
      </c>
      <c r="C458" s="14" t="s">
        <v>897</v>
      </c>
      <c r="D458" s="15">
        <v>200</v>
      </c>
      <c r="E458" s="7"/>
      <c r="F458" s="7"/>
      <c r="G458" s="7"/>
      <c r="H458" s="7">
        <v>65</v>
      </c>
      <c r="I458" s="7"/>
      <c r="J458" s="7"/>
      <c r="K458" s="7">
        <v>45</v>
      </c>
      <c r="L458" s="7"/>
      <c r="M458" s="7"/>
      <c r="N458" s="7"/>
      <c r="O458" s="7"/>
      <c r="P458" s="7">
        <v>39</v>
      </c>
      <c r="Q458" s="7">
        <v>45</v>
      </c>
      <c r="R458" s="7"/>
      <c r="S458" s="7"/>
      <c r="T458" s="7"/>
      <c r="U458" s="7"/>
      <c r="V458" s="7">
        <f t="shared" si="14"/>
        <v>194</v>
      </c>
      <c r="W458" s="7">
        <f t="shared" si="15"/>
        <v>6</v>
      </c>
    </row>
    <row r="459" spans="1:23" ht="18.75" x14ac:dyDescent="0.3">
      <c r="A459" s="4">
        <v>458</v>
      </c>
      <c r="B459" s="13" t="s">
        <v>898</v>
      </c>
      <c r="C459" s="14" t="s">
        <v>899</v>
      </c>
      <c r="D459" s="15">
        <v>200</v>
      </c>
      <c r="E459" s="7"/>
      <c r="F459" s="7"/>
      <c r="G459" s="7"/>
      <c r="H459" s="7">
        <v>34</v>
      </c>
      <c r="I459" s="7"/>
      <c r="J459" s="7"/>
      <c r="K459" s="7">
        <v>88</v>
      </c>
      <c r="L459" s="7"/>
      <c r="M459" s="7"/>
      <c r="N459" s="7"/>
      <c r="O459" s="7"/>
      <c r="P459" s="7">
        <v>39</v>
      </c>
      <c r="Q459" s="7">
        <v>39</v>
      </c>
      <c r="R459" s="7"/>
      <c r="S459" s="7"/>
      <c r="T459" s="7"/>
      <c r="U459" s="7"/>
      <c r="V459" s="7">
        <f t="shared" si="14"/>
        <v>200</v>
      </c>
      <c r="W459" s="7">
        <f t="shared" si="15"/>
        <v>0</v>
      </c>
    </row>
    <row r="460" spans="1:23" ht="18.75" x14ac:dyDescent="0.3">
      <c r="A460" s="4">
        <v>459</v>
      </c>
      <c r="B460" s="13" t="s">
        <v>900</v>
      </c>
      <c r="C460" s="14" t="s">
        <v>901</v>
      </c>
      <c r="D460" s="15">
        <v>300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>
        <v>30</v>
      </c>
      <c r="Q460" s="7"/>
      <c r="R460" s="7"/>
      <c r="S460" s="7"/>
      <c r="T460" s="7"/>
      <c r="U460" s="7"/>
      <c r="V460" s="7">
        <f t="shared" si="14"/>
        <v>30</v>
      </c>
      <c r="W460" s="7">
        <f t="shared" si="15"/>
        <v>270</v>
      </c>
    </row>
    <row r="461" spans="1:23" ht="18.75" x14ac:dyDescent="0.3">
      <c r="A461" s="4">
        <v>460</v>
      </c>
      <c r="B461" s="13" t="s">
        <v>729</v>
      </c>
      <c r="C461" s="14" t="s">
        <v>730</v>
      </c>
      <c r="D461" s="15">
        <v>36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>
        <f t="shared" si="14"/>
        <v>0</v>
      </c>
      <c r="W461" s="7">
        <f t="shared" si="15"/>
        <v>36</v>
      </c>
    </row>
    <row r="462" spans="1:23" ht="18.75" x14ac:dyDescent="0.3">
      <c r="A462" s="4">
        <v>461</v>
      </c>
      <c r="B462" s="13" t="s">
        <v>902</v>
      </c>
      <c r="C462" s="14" t="s">
        <v>903</v>
      </c>
      <c r="D462" s="15">
        <v>36</v>
      </c>
      <c r="E462" s="7"/>
      <c r="F462" s="7"/>
      <c r="G462" s="7"/>
      <c r="H462" s="7">
        <v>6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>
        <f t="shared" si="14"/>
        <v>6</v>
      </c>
      <c r="W462" s="7">
        <f t="shared" si="15"/>
        <v>30</v>
      </c>
    </row>
    <row r="463" spans="1:23" ht="18.75" x14ac:dyDescent="0.3">
      <c r="A463" s="4">
        <v>462</v>
      </c>
      <c r="B463" s="13" t="s">
        <v>904</v>
      </c>
      <c r="C463" s="14" t="s">
        <v>905</v>
      </c>
      <c r="D463" s="15">
        <v>24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>
        <f t="shared" si="14"/>
        <v>0</v>
      </c>
      <c r="W463" s="7">
        <f t="shared" si="15"/>
        <v>24</v>
      </c>
    </row>
    <row r="464" spans="1:23" ht="18.75" x14ac:dyDescent="0.3">
      <c r="A464" s="4">
        <v>463</v>
      </c>
      <c r="B464" s="13" t="s">
        <v>643</v>
      </c>
      <c r="C464" s="14" t="s">
        <v>906</v>
      </c>
      <c r="D464" s="15">
        <v>36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>
        <f t="shared" si="14"/>
        <v>0</v>
      </c>
      <c r="W464" s="7">
        <f t="shared" si="15"/>
        <v>36</v>
      </c>
    </row>
    <row r="465" spans="1:23" ht="18.75" x14ac:dyDescent="0.3">
      <c r="A465" s="4">
        <v>464</v>
      </c>
      <c r="B465" s="13" t="s">
        <v>645</v>
      </c>
      <c r="C465" s="14" t="s">
        <v>907</v>
      </c>
      <c r="D465" s="15">
        <v>36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>
        <f t="shared" si="14"/>
        <v>0</v>
      </c>
      <c r="W465" s="7">
        <f t="shared" si="15"/>
        <v>36</v>
      </c>
    </row>
    <row r="466" spans="1:23" ht="18.75" x14ac:dyDescent="0.3">
      <c r="A466" s="4">
        <v>465</v>
      </c>
      <c r="B466" s="13" t="s">
        <v>908</v>
      </c>
      <c r="C466" s="14" t="s">
        <v>909</v>
      </c>
      <c r="D466" s="15">
        <v>60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>
        <v>30</v>
      </c>
      <c r="Q466" s="7"/>
      <c r="R466" s="7"/>
      <c r="S466" s="7"/>
      <c r="T466" s="7"/>
      <c r="U466" s="7"/>
      <c r="V466" s="7">
        <f t="shared" si="14"/>
        <v>30</v>
      </c>
      <c r="W466" s="7">
        <f t="shared" si="15"/>
        <v>30</v>
      </c>
    </row>
    <row r="467" spans="1:23" ht="18.75" x14ac:dyDescent="0.3">
      <c r="A467" s="4">
        <v>466</v>
      </c>
      <c r="B467" s="13" t="s">
        <v>910</v>
      </c>
      <c r="C467" s="14" t="s">
        <v>911</v>
      </c>
      <c r="D467" s="15">
        <v>60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>
        <v>30</v>
      </c>
      <c r="Q467" s="7"/>
      <c r="R467" s="7"/>
      <c r="S467" s="7"/>
      <c r="T467" s="7"/>
      <c r="U467" s="7"/>
      <c r="V467" s="7">
        <f t="shared" si="14"/>
        <v>30</v>
      </c>
      <c r="W467" s="7">
        <f t="shared" si="15"/>
        <v>30</v>
      </c>
    </row>
    <row r="468" spans="1:23" ht="18.75" x14ac:dyDescent="0.3">
      <c r="A468" s="4">
        <v>467</v>
      </c>
      <c r="B468" s="13" t="s">
        <v>912</v>
      </c>
      <c r="C468" s="14" t="s">
        <v>913</v>
      </c>
      <c r="D468" s="15">
        <v>60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>
        <v>30</v>
      </c>
      <c r="Q468" s="7"/>
      <c r="R468" s="7"/>
      <c r="S468" s="7"/>
      <c r="T468" s="7"/>
      <c r="U468" s="7"/>
      <c r="V468" s="7">
        <f t="shared" si="14"/>
        <v>30</v>
      </c>
      <c r="W468" s="7">
        <f t="shared" si="15"/>
        <v>30</v>
      </c>
    </row>
    <row r="469" spans="1:23" ht="18.75" x14ac:dyDescent="0.3">
      <c r="A469" s="4">
        <v>468</v>
      </c>
      <c r="B469" s="13" t="s">
        <v>914</v>
      </c>
      <c r="C469" s="14" t="s">
        <v>915</v>
      </c>
      <c r="D469" s="15">
        <v>120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>
        <v>30</v>
      </c>
      <c r="Q469" s="7">
        <v>80</v>
      </c>
      <c r="R469" s="7"/>
      <c r="S469" s="7"/>
      <c r="T469" s="7"/>
      <c r="U469" s="7"/>
      <c r="V469" s="7">
        <f t="shared" si="14"/>
        <v>110</v>
      </c>
      <c r="W469" s="7">
        <f t="shared" si="15"/>
        <v>10</v>
      </c>
    </row>
    <row r="470" spans="1:23" ht="18.75" x14ac:dyDescent="0.3">
      <c r="A470" s="4">
        <v>469</v>
      </c>
      <c r="B470" s="13" t="s">
        <v>738</v>
      </c>
      <c r="C470" s="14" t="s">
        <v>916</v>
      </c>
      <c r="D470" s="15">
        <v>18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>
        <f t="shared" si="14"/>
        <v>0</v>
      </c>
      <c r="W470" s="7">
        <f t="shared" si="15"/>
        <v>18</v>
      </c>
    </row>
    <row r="471" spans="1:23" ht="18.75" x14ac:dyDescent="0.3">
      <c r="A471" s="4">
        <v>470</v>
      </c>
      <c r="B471" s="13" t="s">
        <v>740</v>
      </c>
      <c r="C471" s="14" t="s">
        <v>917</v>
      </c>
      <c r="D471" s="15">
        <v>3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>
        <f t="shared" si="14"/>
        <v>0</v>
      </c>
      <c r="W471" s="7">
        <f t="shared" si="15"/>
        <v>3</v>
      </c>
    </row>
    <row r="472" spans="1:23" ht="18.75" x14ac:dyDescent="0.3">
      <c r="A472" s="4">
        <v>471</v>
      </c>
      <c r="B472" s="13" t="s">
        <v>918</v>
      </c>
      <c r="C472" s="14" t="s">
        <v>919</v>
      </c>
      <c r="D472" s="15">
        <v>12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>
        <v>3</v>
      </c>
      <c r="R472" s="7"/>
      <c r="S472" s="7"/>
      <c r="T472" s="7"/>
      <c r="U472" s="7"/>
      <c r="V472" s="7">
        <f t="shared" si="14"/>
        <v>3</v>
      </c>
      <c r="W472" s="7">
        <f t="shared" si="15"/>
        <v>9</v>
      </c>
    </row>
    <row r="473" spans="1:23" ht="18.75" x14ac:dyDescent="0.3">
      <c r="A473" s="4">
        <v>472</v>
      </c>
      <c r="B473" s="13" t="s">
        <v>920</v>
      </c>
      <c r="C473" s="14" t="s">
        <v>921</v>
      </c>
      <c r="D473" s="15">
        <v>12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>
        <f t="shared" si="14"/>
        <v>0</v>
      </c>
      <c r="W473" s="7">
        <f t="shared" si="15"/>
        <v>12</v>
      </c>
    </row>
    <row r="474" spans="1:23" ht="18.75" x14ac:dyDescent="0.3">
      <c r="A474" s="4">
        <v>473</v>
      </c>
      <c r="B474" s="13" t="s">
        <v>922</v>
      </c>
      <c r="C474" s="14" t="s">
        <v>923</v>
      </c>
      <c r="D474" s="15">
        <v>180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>
        <f t="shared" si="14"/>
        <v>0</v>
      </c>
      <c r="W474" s="7">
        <f t="shared" si="15"/>
        <v>180</v>
      </c>
    </row>
    <row r="475" spans="1:23" ht="18.75" x14ac:dyDescent="0.3">
      <c r="A475" s="4">
        <v>474</v>
      </c>
      <c r="B475" s="13" t="s">
        <v>924</v>
      </c>
      <c r="C475" s="14" t="s">
        <v>925</v>
      </c>
      <c r="D475" s="15">
        <v>6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>
        <f t="shared" si="14"/>
        <v>0</v>
      </c>
      <c r="W475" s="7">
        <f t="shared" si="15"/>
        <v>6</v>
      </c>
    </row>
    <row r="476" spans="1:23" ht="18.75" x14ac:dyDescent="0.3">
      <c r="A476" s="4">
        <v>475</v>
      </c>
      <c r="B476" s="13" t="s">
        <v>926</v>
      </c>
      <c r="C476" s="14" t="s">
        <v>927</v>
      </c>
      <c r="D476" s="15">
        <v>8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>
        <v>1</v>
      </c>
      <c r="Q476" s="7"/>
      <c r="R476" s="7"/>
      <c r="S476" s="7"/>
      <c r="T476" s="7"/>
      <c r="U476" s="7"/>
      <c r="V476" s="7">
        <f t="shared" si="14"/>
        <v>1</v>
      </c>
      <c r="W476" s="7">
        <f t="shared" si="15"/>
        <v>7</v>
      </c>
    </row>
    <row r="477" spans="1:23" ht="18.75" x14ac:dyDescent="0.3">
      <c r="A477" s="4">
        <v>476</v>
      </c>
      <c r="B477" s="13" t="s">
        <v>928</v>
      </c>
      <c r="C477" s="14" t="s">
        <v>929</v>
      </c>
      <c r="D477" s="15">
        <v>6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>
        <v>1</v>
      </c>
      <c r="Q477" s="7"/>
      <c r="R477" s="7"/>
      <c r="S477" s="7"/>
      <c r="T477" s="7"/>
      <c r="U477" s="7"/>
      <c r="V477" s="7">
        <f t="shared" si="14"/>
        <v>1</v>
      </c>
      <c r="W477" s="7">
        <f t="shared" si="15"/>
        <v>5</v>
      </c>
    </row>
    <row r="478" spans="1:23" ht="18.75" x14ac:dyDescent="0.3">
      <c r="A478" s="4">
        <v>477</v>
      </c>
      <c r="B478" s="13" t="s">
        <v>930</v>
      </c>
      <c r="C478" s="14" t="s">
        <v>931</v>
      </c>
      <c r="D478" s="15">
        <v>3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>
        <f t="shared" si="14"/>
        <v>0</v>
      </c>
      <c r="W478" s="7">
        <f t="shared" si="15"/>
        <v>3</v>
      </c>
    </row>
    <row r="479" spans="1:23" ht="18.75" x14ac:dyDescent="0.3">
      <c r="A479" s="4">
        <v>478</v>
      </c>
      <c r="B479" s="7" t="s">
        <v>932</v>
      </c>
      <c r="C479" s="9" t="s">
        <v>933</v>
      </c>
      <c r="D479" s="7">
        <v>36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>
        <f t="shared" si="14"/>
        <v>0</v>
      </c>
      <c r="W479" s="7">
        <f t="shared" si="15"/>
        <v>36</v>
      </c>
    </row>
    <row r="480" spans="1:23" ht="18.75" x14ac:dyDescent="0.3">
      <c r="A480" s="4">
        <v>479</v>
      </c>
      <c r="B480" s="7" t="s">
        <v>934</v>
      </c>
      <c r="C480" s="9" t="s">
        <v>935</v>
      </c>
      <c r="D480" s="7">
        <v>4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>
        <f t="shared" si="14"/>
        <v>0</v>
      </c>
      <c r="W480" s="7">
        <f t="shared" si="15"/>
        <v>4</v>
      </c>
    </row>
    <row r="481" spans="1:23" ht="18.75" x14ac:dyDescent="0.3">
      <c r="A481" s="4">
        <v>480</v>
      </c>
      <c r="B481" s="7" t="s">
        <v>936</v>
      </c>
      <c r="C481" s="9" t="s">
        <v>937</v>
      </c>
      <c r="D481" s="7">
        <v>4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>
        <f t="shared" si="14"/>
        <v>0</v>
      </c>
      <c r="W481" s="7">
        <f t="shared" si="15"/>
        <v>4</v>
      </c>
    </row>
    <row r="482" spans="1:23" ht="18.75" x14ac:dyDescent="0.3">
      <c r="A482" s="4">
        <v>481</v>
      </c>
      <c r="B482" s="7" t="s">
        <v>938</v>
      </c>
      <c r="C482" s="9" t="s">
        <v>939</v>
      </c>
      <c r="D482" s="7">
        <v>18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>
        <f t="shared" si="14"/>
        <v>0</v>
      </c>
      <c r="W482" s="7">
        <f t="shared" si="15"/>
        <v>18</v>
      </c>
    </row>
    <row r="483" spans="1:23" ht="18.75" x14ac:dyDescent="0.3">
      <c r="A483" s="4">
        <v>482</v>
      </c>
      <c r="B483" s="7" t="s">
        <v>940</v>
      </c>
      <c r="C483" s="9" t="s">
        <v>941</v>
      </c>
      <c r="D483" s="8">
        <v>2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>
        <f t="shared" si="14"/>
        <v>0</v>
      </c>
      <c r="W483" s="7">
        <f t="shared" si="15"/>
        <v>2</v>
      </c>
    </row>
    <row r="484" spans="1:23" ht="18.75" x14ac:dyDescent="0.3">
      <c r="A484" s="4">
        <v>483</v>
      </c>
      <c r="B484" s="7" t="s">
        <v>942</v>
      </c>
      <c r="C484" s="9" t="s">
        <v>943</v>
      </c>
      <c r="D484" s="7">
        <v>5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>
        <f t="shared" si="14"/>
        <v>0</v>
      </c>
      <c r="W484" s="7">
        <f t="shared" si="15"/>
        <v>5</v>
      </c>
    </row>
    <row r="485" spans="1:23" ht="18.75" x14ac:dyDescent="0.3">
      <c r="A485" s="4">
        <v>484</v>
      </c>
      <c r="B485" s="7" t="s">
        <v>944</v>
      </c>
      <c r="C485" s="9" t="s">
        <v>642</v>
      </c>
      <c r="D485" s="7">
        <v>18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>
        <f t="shared" si="14"/>
        <v>0</v>
      </c>
      <c r="W485" s="7">
        <f t="shared" si="15"/>
        <v>18</v>
      </c>
    </row>
    <row r="486" spans="1:23" ht="18.75" x14ac:dyDescent="0.3">
      <c r="A486" s="4">
        <v>485</v>
      </c>
      <c r="B486" s="7" t="s">
        <v>945</v>
      </c>
      <c r="C486" s="9" t="s">
        <v>946</v>
      </c>
      <c r="D486" s="7">
        <v>12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>
        <v>2</v>
      </c>
      <c r="Q486" s="7"/>
      <c r="R486" s="7"/>
      <c r="S486" s="7"/>
      <c r="T486" s="7"/>
      <c r="U486" s="7"/>
      <c r="V486" s="7">
        <f t="shared" si="14"/>
        <v>2</v>
      </c>
      <c r="W486" s="7">
        <f t="shared" si="15"/>
        <v>10</v>
      </c>
    </row>
    <row r="487" spans="1:23" ht="18.75" x14ac:dyDescent="0.3">
      <c r="A487" s="4">
        <v>486</v>
      </c>
      <c r="B487" s="7" t="s">
        <v>947</v>
      </c>
      <c r="C487" s="9" t="s">
        <v>948</v>
      </c>
      <c r="D487" s="7">
        <v>36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>
        <f t="shared" si="14"/>
        <v>0</v>
      </c>
      <c r="W487" s="7">
        <f t="shared" si="15"/>
        <v>36</v>
      </c>
    </row>
    <row r="488" spans="1:23" ht="18.75" x14ac:dyDescent="0.3">
      <c r="A488" s="4">
        <v>487</v>
      </c>
      <c r="B488" s="7" t="s">
        <v>949</v>
      </c>
      <c r="C488" s="9" t="s">
        <v>950</v>
      </c>
      <c r="D488" s="7">
        <v>24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>
        <f t="shared" si="14"/>
        <v>0</v>
      </c>
      <c r="W488" s="7">
        <f t="shared" si="15"/>
        <v>24</v>
      </c>
    </row>
    <row r="489" spans="1:23" ht="18.75" x14ac:dyDescent="0.3">
      <c r="A489" s="4">
        <v>488</v>
      </c>
      <c r="B489" s="7" t="s">
        <v>951</v>
      </c>
      <c r="C489" s="9" t="s">
        <v>81</v>
      </c>
      <c r="D489" s="7">
        <v>1</v>
      </c>
      <c r="E489" s="7"/>
      <c r="F489" s="7"/>
      <c r="G489" s="7"/>
      <c r="H489" s="7"/>
      <c r="I489" s="7"/>
      <c r="J489" s="7"/>
      <c r="K489" s="7">
        <v>1</v>
      </c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>
        <f t="shared" si="14"/>
        <v>1</v>
      </c>
      <c r="W489" s="7">
        <f t="shared" si="15"/>
        <v>0</v>
      </c>
    </row>
    <row r="490" spans="1:23" ht="18.75" x14ac:dyDescent="0.3">
      <c r="A490" s="4">
        <v>489</v>
      </c>
      <c r="B490" s="19" t="s">
        <v>955</v>
      </c>
      <c r="C490" s="19" t="s">
        <v>956</v>
      </c>
      <c r="D490" s="19">
        <v>1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>
        <f>SUM(E490:S490)</f>
        <v>0</v>
      </c>
      <c r="W490" s="7">
        <f>D490-V490</f>
        <v>1</v>
      </c>
    </row>
    <row r="491" spans="1:23" ht="18.75" x14ac:dyDescent="0.3">
      <c r="A491" s="4">
        <v>490</v>
      </c>
      <c r="B491" s="19" t="s">
        <v>957</v>
      </c>
      <c r="C491" s="19" t="s">
        <v>958</v>
      </c>
      <c r="D491" s="19">
        <v>1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>
        <f t="shared" ref="V491:V492" si="16">SUM(E491:S491)</f>
        <v>0</v>
      </c>
      <c r="W491" s="7">
        <f t="shared" ref="W491:W492" si="17">D491-V491</f>
        <v>1</v>
      </c>
    </row>
    <row r="492" spans="1:23" ht="18.75" x14ac:dyDescent="0.3">
      <c r="A492" s="4">
        <v>491</v>
      </c>
      <c r="B492" s="19" t="s">
        <v>873</v>
      </c>
      <c r="C492" s="19" t="s">
        <v>959</v>
      </c>
      <c r="D492" s="19">
        <v>5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>
        <f t="shared" si="16"/>
        <v>0</v>
      </c>
      <c r="W492" s="7">
        <f t="shared" si="17"/>
        <v>5</v>
      </c>
    </row>
    <row r="493" spans="1:23" ht="18.75" x14ac:dyDescent="0.3">
      <c r="A493" s="4">
        <v>492</v>
      </c>
      <c r="B493" s="7" t="s">
        <v>960</v>
      </c>
      <c r="C493" s="7" t="s">
        <v>961</v>
      </c>
      <c r="D493" s="7">
        <v>1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>
        <f>SUM(E493:U493)</f>
        <v>0</v>
      </c>
      <c r="W493" s="7">
        <f>D493-V493</f>
        <v>1</v>
      </c>
    </row>
    <row r="494" spans="1:23" ht="18.75" x14ac:dyDescent="0.3">
      <c r="A494" s="4">
        <v>493</v>
      </c>
      <c r="B494" s="7" t="s">
        <v>960</v>
      </c>
      <c r="C494" s="7" t="s">
        <v>961</v>
      </c>
      <c r="D494" s="7">
        <v>3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>
        <f t="shared" ref="V494:V521" si="18">SUM(E494:U494)</f>
        <v>0</v>
      </c>
      <c r="W494" s="7">
        <f t="shared" ref="W494:W521" si="19">D494-V494</f>
        <v>3</v>
      </c>
    </row>
    <row r="495" spans="1:23" ht="18.75" x14ac:dyDescent="0.3">
      <c r="A495" s="4">
        <v>494</v>
      </c>
      <c r="B495" s="7" t="s">
        <v>962</v>
      </c>
      <c r="C495" s="7" t="s">
        <v>963</v>
      </c>
      <c r="D495" s="7">
        <v>4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>
        <f t="shared" si="18"/>
        <v>0</v>
      </c>
      <c r="W495" s="7">
        <f t="shared" si="19"/>
        <v>4</v>
      </c>
    </row>
    <row r="496" spans="1:23" ht="18.75" x14ac:dyDescent="0.3">
      <c r="A496" s="4">
        <v>495</v>
      </c>
      <c r="B496" s="7" t="s">
        <v>964</v>
      </c>
      <c r="C496" s="7" t="s">
        <v>965</v>
      </c>
      <c r="D496" s="7">
        <v>4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>
        <f t="shared" si="18"/>
        <v>0</v>
      </c>
      <c r="W496" s="7">
        <f t="shared" si="19"/>
        <v>4</v>
      </c>
    </row>
    <row r="497" spans="1:23" ht="18.75" x14ac:dyDescent="0.3">
      <c r="A497" s="4">
        <v>496</v>
      </c>
      <c r="B497" s="7" t="s">
        <v>446</v>
      </c>
      <c r="C497" s="7" t="s">
        <v>447</v>
      </c>
      <c r="D497" s="7">
        <v>3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>
        <f t="shared" si="18"/>
        <v>0</v>
      </c>
      <c r="W497" s="7">
        <f t="shared" si="19"/>
        <v>3</v>
      </c>
    </row>
    <row r="498" spans="1:23" ht="18.75" x14ac:dyDescent="0.3">
      <c r="A498" s="4">
        <v>497</v>
      </c>
      <c r="B498" s="7" t="s">
        <v>966</v>
      </c>
      <c r="C498" s="7" t="s">
        <v>967</v>
      </c>
      <c r="D498" s="7">
        <v>36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>
        <v>6</v>
      </c>
      <c r="Q498" s="7"/>
      <c r="R498" s="7"/>
      <c r="S498" s="7"/>
      <c r="T498" s="7"/>
      <c r="U498" s="7"/>
      <c r="V498" s="7">
        <f t="shared" si="18"/>
        <v>6</v>
      </c>
      <c r="W498" s="7">
        <f t="shared" si="19"/>
        <v>30</v>
      </c>
    </row>
    <row r="499" spans="1:23" ht="18.75" x14ac:dyDescent="0.3">
      <c r="A499" s="4">
        <v>498</v>
      </c>
      <c r="B499" s="7" t="s">
        <v>446</v>
      </c>
      <c r="C499" s="7" t="s">
        <v>447</v>
      </c>
      <c r="D499" s="7">
        <v>33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>
        <f t="shared" si="18"/>
        <v>0</v>
      </c>
      <c r="W499" s="7">
        <f t="shared" si="19"/>
        <v>33</v>
      </c>
    </row>
    <row r="500" spans="1:23" ht="18.75" x14ac:dyDescent="0.3">
      <c r="A500" s="4">
        <v>499</v>
      </c>
      <c r="B500" s="7" t="s">
        <v>448</v>
      </c>
      <c r="C500" s="7" t="s">
        <v>449</v>
      </c>
      <c r="D500" s="7">
        <v>3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>
        <f t="shared" si="18"/>
        <v>0</v>
      </c>
      <c r="W500" s="7">
        <f t="shared" si="19"/>
        <v>3</v>
      </c>
    </row>
    <row r="501" spans="1:23" ht="18.75" x14ac:dyDescent="0.3">
      <c r="A501" s="4">
        <v>500</v>
      </c>
      <c r="B501" s="7" t="s">
        <v>448</v>
      </c>
      <c r="C501" s="7" t="s">
        <v>449</v>
      </c>
      <c r="D501" s="7">
        <v>33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>
        <f t="shared" si="18"/>
        <v>0</v>
      </c>
      <c r="W501" s="7">
        <f t="shared" si="19"/>
        <v>33</v>
      </c>
    </row>
    <row r="502" spans="1:23" ht="18.75" x14ac:dyDescent="0.3">
      <c r="A502" s="4">
        <v>501</v>
      </c>
      <c r="B502" s="7" t="s">
        <v>968</v>
      </c>
      <c r="C502" s="7" t="s">
        <v>447</v>
      </c>
      <c r="D502" s="7">
        <v>12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>
        <v>6</v>
      </c>
      <c r="Q502" s="7"/>
      <c r="R502" s="7"/>
      <c r="S502" s="7"/>
      <c r="T502" s="7"/>
      <c r="U502" s="7"/>
      <c r="V502" s="7">
        <f t="shared" si="18"/>
        <v>6</v>
      </c>
      <c r="W502" s="7">
        <f t="shared" si="19"/>
        <v>6</v>
      </c>
    </row>
    <row r="503" spans="1:23" ht="18.75" x14ac:dyDescent="0.3">
      <c r="A503" s="4">
        <v>502</v>
      </c>
      <c r="B503" s="19" t="s">
        <v>970</v>
      </c>
      <c r="C503" s="19" t="s">
        <v>971</v>
      </c>
      <c r="D503" s="19">
        <v>10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7">
        <f t="shared" si="18"/>
        <v>0</v>
      </c>
      <c r="W503" s="7">
        <f t="shared" si="19"/>
        <v>10</v>
      </c>
    </row>
    <row r="504" spans="1:23" ht="18.75" x14ac:dyDescent="0.3">
      <c r="A504" s="4">
        <v>503</v>
      </c>
      <c r="B504" s="19" t="s">
        <v>972</v>
      </c>
      <c r="C504" s="19" t="s">
        <v>973</v>
      </c>
      <c r="D504" s="19">
        <v>2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7">
        <f t="shared" si="18"/>
        <v>0</v>
      </c>
      <c r="W504" s="7">
        <f t="shared" si="19"/>
        <v>2</v>
      </c>
    </row>
    <row r="505" spans="1:23" ht="18.75" x14ac:dyDescent="0.3">
      <c r="A505" s="4">
        <v>504</v>
      </c>
      <c r="B505" s="19" t="s">
        <v>974</v>
      </c>
      <c r="C505" s="19" t="s">
        <v>975</v>
      </c>
      <c r="D505" s="19">
        <v>16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7">
        <f t="shared" si="18"/>
        <v>0</v>
      </c>
      <c r="W505" s="7">
        <f t="shared" si="19"/>
        <v>16</v>
      </c>
    </row>
    <row r="506" spans="1:23" ht="18.75" x14ac:dyDescent="0.3">
      <c r="A506" s="4">
        <v>505</v>
      </c>
      <c r="B506" s="19" t="s">
        <v>976</v>
      </c>
      <c r="C506" s="19" t="s">
        <v>977</v>
      </c>
      <c r="D506" s="19">
        <v>1</v>
      </c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7">
        <f t="shared" si="18"/>
        <v>0</v>
      </c>
      <c r="W506" s="7">
        <f t="shared" si="19"/>
        <v>1</v>
      </c>
    </row>
    <row r="507" spans="1:23" ht="18.75" x14ac:dyDescent="0.3">
      <c r="A507" s="4">
        <v>506</v>
      </c>
      <c r="B507" s="19" t="s">
        <v>978</v>
      </c>
      <c r="C507" s="19" t="s">
        <v>979</v>
      </c>
      <c r="D507" s="19">
        <v>5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7">
        <f t="shared" si="18"/>
        <v>0</v>
      </c>
      <c r="W507" s="7">
        <f t="shared" si="19"/>
        <v>5</v>
      </c>
    </row>
    <row r="508" spans="1:23" ht="18.75" x14ac:dyDescent="0.3">
      <c r="A508" s="4">
        <v>507</v>
      </c>
      <c r="B508" s="19" t="s">
        <v>980</v>
      </c>
      <c r="C508" s="19" t="s">
        <v>981</v>
      </c>
      <c r="D508" s="19">
        <v>14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>
        <v>3</v>
      </c>
      <c r="R508" s="13"/>
      <c r="S508" s="13"/>
      <c r="T508" s="13"/>
      <c r="U508" s="13"/>
      <c r="V508" s="7">
        <f t="shared" si="18"/>
        <v>3</v>
      </c>
      <c r="W508" s="7">
        <f t="shared" si="19"/>
        <v>11</v>
      </c>
    </row>
    <row r="509" spans="1:23" ht="18.75" x14ac:dyDescent="0.3">
      <c r="A509" s="4">
        <v>508</v>
      </c>
      <c r="B509" s="19" t="s">
        <v>982</v>
      </c>
      <c r="C509" s="19" t="s">
        <v>983</v>
      </c>
      <c r="D509" s="19">
        <v>21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>
        <v>3</v>
      </c>
      <c r="R509" s="13"/>
      <c r="S509" s="13"/>
      <c r="T509" s="13"/>
      <c r="U509" s="13"/>
      <c r="V509" s="7">
        <f t="shared" si="18"/>
        <v>3</v>
      </c>
      <c r="W509" s="7">
        <f t="shared" si="19"/>
        <v>18</v>
      </c>
    </row>
    <row r="510" spans="1:23" ht="18.75" x14ac:dyDescent="0.3">
      <c r="A510" s="4">
        <v>509</v>
      </c>
      <c r="B510" s="19" t="s">
        <v>984</v>
      </c>
      <c r="C510" s="19" t="s">
        <v>985</v>
      </c>
      <c r="D510" s="19">
        <v>2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7">
        <f t="shared" si="18"/>
        <v>0</v>
      </c>
      <c r="W510" s="7">
        <f t="shared" si="19"/>
        <v>2</v>
      </c>
    </row>
    <row r="511" spans="1:23" ht="18.75" x14ac:dyDescent="0.3">
      <c r="A511" s="4">
        <v>510</v>
      </c>
      <c r="B511" s="19" t="s">
        <v>986</v>
      </c>
      <c r="C511" s="19" t="s">
        <v>987</v>
      </c>
      <c r="D511" s="19">
        <v>5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>
        <v>1</v>
      </c>
      <c r="Q511" s="13">
        <v>2</v>
      </c>
      <c r="R511" s="13"/>
      <c r="S511" s="13"/>
      <c r="T511" s="13"/>
      <c r="U511" s="13"/>
      <c r="V511" s="7">
        <f t="shared" si="18"/>
        <v>3</v>
      </c>
      <c r="W511" s="7">
        <f t="shared" si="19"/>
        <v>2</v>
      </c>
    </row>
    <row r="512" spans="1:23" ht="18.75" x14ac:dyDescent="0.3">
      <c r="A512" s="4">
        <v>511</v>
      </c>
      <c r="B512" s="19" t="s">
        <v>988</v>
      </c>
      <c r="C512" s="19" t="s">
        <v>989</v>
      </c>
      <c r="D512" s="19">
        <v>5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>
        <v>1</v>
      </c>
      <c r="R512" s="13"/>
      <c r="S512" s="13"/>
      <c r="T512" s="13"/>
      <c r="U512" s="13">
        <v>1</v>
      </c>
      <c r="V512" s="7">
        <f t="shared" si="18"/>
        <v>2</v>
      </c>
      <c r="W512" s="7">
        <f t="shared" si="19"/>
        <v>3</v>
      </c>
    </row>
    <row r="513" spans="1:23" ht="18.75" x14ac:dyDescent="0.3">
      <c r="A513" s="4">
        <v>512</v>
      </c>
      <c r="B513" s="19" t="s">
        <v>991</v>
      </c>
      <c r="C513" s="19" t="s">
        <v>990</v>
      </c>
      <c r="D513" s="13">
        <v>2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7">
        <f t="shared" si="18"/>
        <v>0</v>
      </c>
      <c r="W513" s="7">
        <f t="shared" si="19"/>
        <v>2</v>
      </c>
    </row>
    <row r="514" spans="1:23" ht="18.75" x14ac:dyDescent="0.3">
      <c r="A514" s="4">
        <v>513</v>
      </c>
      <c r="B514" s="13" t="s">
        <v>666</v>
      </c>
      <c r="C514" s="13" t="s">
        <v>992</v>
      </c>
      <c r="D514" s="15">
        <v>190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7">
        <f t="shared" si="18"/>
        <v>0</v>
      </c>
      <c r="W514" s="7">
        <f t="shared" si="19"/>
        <v>190</v>
      </c>
    </row>
    <row r="515" spans="1:23" ht="18.75" x14ac:dyDescent="0.3">
      <c r="A515" s="4">
        <v>514</v>
      </c>
      <c r="B515" s="13" t="s">
        <v>668</v>
      </c>
      <c r="C515" s="13" t="s">
        <v>669</v>
      </c>
      <c r="D515" s="15">
        <v>220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7">
        <f t="shared" si="18"/>
        <v>0</v>
      </c>
      <c r="W515" s="7">
        <f t="shared" si="19"/>
        <v>220</v>
      </c>
    </row>
    <row r="516" spans="1:23" ht="18.75" x14ac:dyDescent="0.3">
      <c r="A516" s="4">
        <v>515</v>
      </c>
      <c r="B516" s="13" t="s">
        <v>771</v>
      </c>
      <c r="C516" s="13" t="s">
        <v>993</v>
      </c>
      <c r="D516" s="15">
        <v>165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7">
        <f t="shared" si="18"/>
        <v>0</v>
      </c>
      <c r="W516" s="7">
        <f t="shared" si="19"/>
        <v>165</v>
      </c>
    </row>
    <row r="517" spans="1:23" ht="18.75" x14ac:dyDescent="0.3">
      <c r="A517" s="4">
        <v>516</v>
      </c>
      <c r="B517" s="13" t="s">
        <v>771</v>
      </c>
      <c r="C517" s="13" t="s">
        <v>993</v>
      </c>
      <c r="D517" s="15">
        <v>15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7">
        <f t="shared" si="18"/>
        <v>0</v>
      </c>
      <c r="W517" s="7">
        <f t="shared" si="19"/>
        <v>15</v>
      </c>
    </row>
    <row r="518" spans="1:23" ht="18.75" x14ac:dyDescent="0.3">
      <c r="A518" s="4">
        <v>517</v>
      </c>
      <c r="B518" s="13" t="s">
        <v>922</v>
      </c>
      <c r="C518" s="13" t="s">
        <v>923</v>
      </c>
      <c r="D518" s="15">
        <v>165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7">
        <f t="shared" si="18"/>
        <v>0</v>
      </c>
      <c r="W518" s="7">
        <f t="shared" si="19"/>
        <v>165</v>
      </c>
    </row>
    <row r="519" spans="1:23" ht="18.75" x14ac:dyDescent="0.3">
      <c r="A519" s="4">
        <v>518</v>
      </c>
      <c r="B519" s="13" t="s">
        <v>994</v>
      </c>
      <c r="C519" s="13" t="s">
        <v>923</v>
      </c>
      <c r="D519" s="15">
        <v>15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7">
        <f t="shared" si="18"/>
        <v>0</v>
      </c>
      <c r="W519" s="7">
        <f t="shared" si="19"/>
        <v>15</v>
      </c>
    </row>
    <row r="520" spans="1:23" ht="18.75" x14ac:dyDescent="0.3">
      <c r="A520" s="4">
        <v>519</v>
      </c>
      <c r="B520" s="13" t="s">
        <v>924</v>
      </c>
      <c r="C520" s="13" t="s">
        <v>925</v>
      </c>
      <c r="D520" s="15">
        <v>6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7">
        <f t="shared" si="18"/>
        <v>0</v>
      </c>
      <c r="W520" s="7">
        <f t="shared" si="19"/>
        <v>6</v>
      </c>
    </row>
    <row r="521" spans="1:23" ht="18.75" x14ac:dyDescent="0.3">
      <c r="A521" s="4">
        <v>520</v>
      </c>
      <c r="B521" s="13" t="s">
        <v>930</v>
      </c>
      <c r="C521" s="13" t="s">
        <v>931</v>
      </c>
      <c r="D521" s="15">
        <v>3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7">
        <f t="shared" si="18"/>
        <v>0</v>
      </c>
      <c r="W521" s="7">
        <f t="shared" si="19"/>
        <v>3</v>
      </c>
    </row>
  </sheetData>
  <autoFilter ref="A1:W521" xr:uid="{DEACFEBC-D483-4144-AA0F-FFD99A154AF2}"/>
  <pageMargins left="0.33" right="0.2" top="0.2" bottom="0.2" header="0.5" footer="0.5"/>
  <pageSetup paperSize="9" scale="78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9BB8-A215-4FB5-8108-C8B652DA48C7}">
  <dimension ref="A1:D47"/>
  <sheetViews>
    <sheetView workbookViewId="0">
      <selection activeCell="I18" sqref="I18"/>
    </sheetView>
  </sheetViews>
  <sheetFormatPr defaultRowHeight="15" x14ac:dyDescent="0.25"/>
  <cols>
    <col min="1" max="1" width="3.85546875" bestFit="1" customWidth="1"/>
    <col min="2" max="2" width="29.85546875" customWidth="1"/>
    <col min="3" max="3" width="17.42578125" customWidth="1"/>
    <col min="4" max="4" width="18.42578125" customWidth="1"/>
  </cols>
  <sheetData>
    <row r="1" spans="1:4" x14ac:dyDescent="0.25">
      <c r="A1" s="2" t="s">
        <v>0</v>
      </c>
      <c r="B1" s="2" t="s">
        <v>808</v>
      </c>
      <c r="C1" s="2" t="s">
        <v>809</v>
      </c>
      <c r="D1" s="2" t="s">
        <v>810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DBA9-3A43-485E-8B39-DBA392381A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Sheet5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2025-12-09T05:47:10Z</cp:lastPrinted>
  <dcterms:created xsi:type="dcterms:W3CDTF">2025-11-22T04:02:34Z</dcterms:created>
  <dcterms:modified xsi:type="dcterms:W3CDTF">2026-08-03T05:46:12Z</dcterms:modified>
</cp:coreProperties>
</file>